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Field Card" sheetId="2" state="visible" r:id="rId4"/>
    <sheet name="Conversion Crosswalk" sheetId="3" state="visible" r:id="rId5"/>
    <sheet name="Ash EAB" sheetId="4" state="visible" r:id="rId6"/>
    <sheet name="Palette" sheetId="5" state="visible" r:id="rId7"/>
    <sheet name="Hedgerow Design" sheetId="6" state="visible" r:id="rId8"/>
    <sheet name="Establishment Water" sheetId="7" state="visible" r:id="rId9"/>
    <sheet name="Watering Plan" sheetId="8" state="visible" r:id="rId10"/>
    <sheet name="Conversion Economics" sheetId="9" state="visible" r:id="rId11"/>
    <sheet name="Install Log" sheetId="10" state="visible" r:id="rId12"/>
    <sheet name="Ash Register" sheetId="11" state="visible" r:id="rId13"/>
    <sheet name="Program Review" sheetId="12" state="visible" r:id="rId14"/>
    <sheet name="Reference" sheetId="13" state="visible" r:id="rId15"/>
    <sheet name="Lists" sheetId="14" state="hidden" r:id="rId16"/>
  </sheets>
  <definedNames>
    <definedName function="false" hidden="true" localSheetId="10" name="_xlnm._FilterDatabase" vbProcedure="false">'Ash Register'!$A$1:$U$302</definedName>
    <definedName function="false" hidden="false" localSheetId="1" name="_xlnm.Print_Area" vbProcedure="false">'Field Card'!$A$1:$D$40</definedName>
    <definedName function="false" hidden="true" localSheetId="9" name="_xlnm._FilterDatabase" vbProcedure="false">'Install Log'!$A$1:$U$202</definedName>
    <definedName function="false" hidden="true" localSheetId="4" name="_xlnm._FilterDatabase" vbProcedure="false">Palette!$A$1:$U$151</definedName>
    <definedName function="false" hidden="true" localSheetId="11" name="_xlnm._FilterDatabase" vbProcedure="false">'Program Review'!$A$29:$K$179</definedName>
    <definedName function="false" hidden="false" localSheetId="7" name="_xlnm.Print_Area" vbProcedure="false">'Watering Plan'!$A$1:$E$27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<sst xmlns="http://schemas.openxmlformats.org/spreadsheetml/2006/main" count="1870" uniqueCount="1169">
  <si>
    <t xml:space="preserve">CLIMATE-RESILIENT TREE REMOVAL AND REPLACEMENT — START HERE</t>
  </si>
  <si>
    <t xml:space="preserve">A planning and record-keeping tool for replacing high-maintenance plantings with climate-adapted species in the southern Willamette Valley, Oregon. It suits arborists, landscape managers, public agencies and property owners. Use the workflows below. Each step names the tab to open.</t>
  </si>
  <si>
    <t xml:space="preserve">SETTINGS — change these here only</t>
  </si>
  <si>
    <t xml:space="preserve">Setting</t>
  </si>
  <si>
    <t xml:space="preserve">Value</t>
  </si>
  <si>
    <t xml:space="preserve">Used by</t>
  </si>
  <si>
    <t xml:space="preserve">Labor rate ($/hour)</t>
  </si>
  <si>
    <t xml:space="preserve">Conversion Economics, Establishment Water. Placeholder: enter your own rate.</t>
  </si>
  <si>
    <t xml:space="preserve">Planning horizon (years)</t>
  </si>
  <si>
    <t xml:space="preserve">Conversion Economics. Use the number of years you expect to manage the site.</t>
  </si>
  <si>
    <t xml:space="preserve">Dry season length (days)</t>
  </si>
  <si>
    <t xml:space="preserve">Establishment Water, Watering Plan. June 15 to October 15.</t>
  </si>
  <si>
    <t xml:space="preserve">Tier B cap (share of plants per install)</t>
  </si>
  <si>
    <t xml:space="preserve">Planting plans, Program Review.</t>
  </si>
  <si>
    <t xml:space="preserve">Minimum plants before diversity flags count</t>
  </si>
  <si>
    <t xml:space="preserve">Program Review. Below this number the flags show 'too few plants'.</t>
  </si>
  <si>
    <t xml:space="preserve">TABS — WHAT EACH ONE IS FOR</t>
  </si>
  <si>
    <t xml:space="preserve">Tab</t>
  </si>
  <si>
    <t xml:space="preserve">Group</t>
  </si>
  <si>
    <t xml:space="preserve">Use it to</t>
  </si>
  <si>
    <t xml:space="preserve">Field Card</t>
  </si>
  <si>
    <t xml:space="preserve">Field</t>
  </si>
  <si>
    <t xml:space="preserve">Record a site assessment. Print it. Carry it.</t>
  </si>
  <si>
    <t xml:space="preserve">Conversion Crosswalk</t>
  </si>
  <si>
    <t xml:space="preserve">Plan</t>
  </si>
  <si>
    <t xml:space="preserve">Find what replaces a legacy plant, and why.</t>
  </si>
  <si>
    <t xml:space="preserve">Ash EAB</t>
  </si>
  <si>
    <t xml:space="preserve">EAB status, treatment costs, decision rules, phased replacement, quarantine and safety.</t>
  </si>
  <si>
    <t xml:space="preserve">Palette</t>
  </si>
  <si>
    <t xml:space="preserve">Choose species by soil group, size, tier and water class.</t>
  </si>
  <si>
    <t xml:space="preserve">Hedgerow Design</t>
  </si>
  <si>
    <t xml:space="preserve">Design a mixed hedgerow and count the plants.</t>
  </si>
  <si>
    <t xml:space="preserve">Establishment Water</t>
  </si>
  <si>
    <t xml:space="preserve">Calculate the 3-year watering plan and its cost for one site.</t>
  </si>
  <si>
    <t xml:space="preserve">Watering Plan</t>
  </si>
  <si>
    <t xml:space="preserve">Print the watering schedule for whoever waters. It fills from Establishment Water.</t>
  </si>
  <si>
    <t xml:space="preserve">Conversion Economics</t>
  </si>
  <si>
    <t xml:space="preserve">Compare the cost of the old planting with the conversion.</t>
  </si>
  <si>
    <t xml:space="preserve">Install Log</t>
  </si>
  <si>
    <t xml:space="preserve">Records</t>
  </si>
  <si>
    <t xml:space="preserve">Record every install. Score condition at each visit.</t>
  </si>
  <si>
    <t xml:space="preserve">Ash Register</t>
  </si>
  <si>
    <t xml:space="preserve">Record every ash tree. Recommendation, costs and next treatment fill in.</t>
  </si>
  <si>
    <t xml:space="preserve">Program Review</t>
  </si>
  <si>
    <t xml:space="preserve">Check survival and diversity once a year. Updates by itself.</t>
  </si>
  <si>
    <t xml:space="preserve">Reference</t>
  </si>
  <si>
    <t xml:space="preserve">Tier rules, soil groups, water classes, palette summary and sources.</t>
  </si>
  <si>
    <t xml:space="preserve">W1. ASSESS A SITE</t>
  </si>
  <si>
    <t xml:space="preserve">Step 1</t>
  </si>
  <si>
    <t xml:space="preserve">Open a blank Field Card. It takes about 4 minutes.</t>
  </si>
  <si>
    <t xml:space="preserve">Step 2</t>
  </si>
  <si>
    <t xml:space="preserve">Name the legacy plant and the scope (length, width or stem count).</t>
  </si>
  <si>
    <t xml:space="preserve">Step 3</t>
  </si>
  <si>
    <t xml:space="preserve">Call the soil group. If you are not sure, dig 18 in and fill the hole with water. If it has not drained in 1 hour, call it Group 1.</t>
  </si>
  <si>
    <t xml:space="preserve">Step 4</t>
  </si>
  <si>
    <t xml:space="preserve">Mark the class: Remove soon (failing or hazardous) or Optional (healthy but costly to keep).</t>
  </si>
  <si>
    <t xml:space="preserve">Step 5</t>
  </si>
  <si>
    <t xml:space="preserve">Take photos. File the card.</t>
  </si>
  <si>
    <t xml:space="preserve">RULE: Recommend a replacement only where the plant needs it. Otherwise note the condition and move on.</t>
  </si>
  <si>
    <t xml:space="preserve">W2. SET PRIORITIES — once a month</t>
  </si>
  <si>
    <t xml:space="preserve">Act on Remove soon cards first. These plants are failing or hazardous.</t>
  </si>
  <si>
    <t xml:space="preserve">Hold Optional cards. They pay back best where the site will be managed for 10 years or more.</t>
  </si>
  <si>
    <t xml:space="preserve">Keep all other cards on file as observed conditions. Check them at the next visit.</t>
  </si>
  <si>
    <t xml:space="preserve">W3. PLAN A REPLACEMENT</t>
  </si>
  <si>
    <t xml:space="preserve">Conversion Crosswalk: find the legacy plant. Read the soil notes and the considerations. For ash, go to workflow W8 instead.</t>
  </si>
  <si>
    <t xml:space="preserve">Palette: filter the site's soil group column to 'Yes'. Check Tier, Max Ht, Under Wires, Water Class and Review By.</t>
  </si>
  <si>
    <t xml:space="preserve">If the hedge site is 8 ft wide or more, offer a hedgerow. Use Hedgerow Design for the mix and the plant count.</t>
  </si>
  <si>
    <t xml:space="preserve">Establishment Water: enter the soil group and each plant line. Note the 3-year watering cost if the watering is hired out.</t>
  </si>
  <si>
    <t xml:space="preserve">Conversion Economics: enter the site numbers in the matching column. Use the cost curve for Optional replacements. Use the cost-of-waiting line for Remove soon replacements.</t>
  </si>
  <si>
    <t xml:space="preserve">Step 6</t>
  </si>
  <si>
    <t xml:space="preserve">Check the limits: Tier B plants are 10% or less of the planting. Rose family is 30% or less of a hedgerow. Drought-adapted plants never go on shared irrigation.</t>
  </si>
  <si>
    <t xml:space="preserve">Step 7</t>
  </si>
  <si>
    <t xml:space="preserve">Decide who waters: the owner or a contractor. Write it down. A replacement guarantee usually depends on it.</t>
  </si>
  <si>
    <t xml:space="preserve">W4. INSTALL DAY</t>
  </si>
  <si>
    <t xml:space="preserve">Install Log: add one row per species. Pick the species from the dropdown.</t>
  </si>
  <si>
    <t xml:space="preserve">Enter Qty Alive the same as Qty Planted.</t>
  </si>
  <si>
    <t xml:space="preserve">Check that the Tier column fills in. If it shows 'NOT IN PALETTE', fix the species name.</t>
  </si>
  <si>
    <t xml:space="preserve">Watering Plan: enter the owner, address, install date and who waters. Print it. Give it to whoever waters.</t>
  </si>
  <si>
    <t xml:space="preserve">If a contractor waters, put each watering visit on the schedule.</t>
  </si>
  <si>
    <t xml:space="preserve">Record the GIS point ID.</t>
  </si>
  <si>
    <t xml:space="preserve">W5. MAINTENANCE VISIT</t>
  </si>
  <si>
    <t xml:space="preserve">Install Log: filter or sort by Next Score Due. Red dates are overdue.</t>
  </si>
  <si>
    <t xml:space="preserve">Score each row 1 to 5 in the matching year column. Update Qty Alive.</t>
  </si>
  <si>
    <t xml:space="preserve">If plants died, choose a Failure Cause. Transplant shock in year 1 is not a species failure.</t>
  </si>
  <si>
    <t xml:space="preserve">Replace failed plants under a guarantee only if the water plan was followed.</t>
  </si>
  <si>
    <t xml:space="preserve">W6. ANNUAL REVIEW — each August, before fall orders</t>
  </si>
  <si>
    <t xml:space="preserve">Program Review: read survival by soil group and by tier.</t>
  </si>
  <si>
    <t xml:space="preserve">Read the diversity flags. They count only after the minimum plant number in Settings.</t>
  </si>
  <si>
    <t xml:space="preserve">Promote a Tier B species to A after 3 or more installs reach year 3 with 80% or more survival.</t>
  </si>
  <si>
    <t xml:space="preserve">Demote a species with less than 70% survival. Do not count mower damage or a missed water plan.</t>
  </si>
  <si>
    <t xml:space="preserve">Palette: sort by Review By. Act on any date that has passed.</t>
  </si>
  <si>
    <t xml:space="preserve">Replace the placeholder numbers listed below with local figures as records build up.</t>
  </si>
  <si>
    <t xml:space="preserve">W7. ADD A SPECIES</t>
  </si>
  <si>
    <t xml:space="preserve">Screen it on both axes: summer drought and winter-wet clay. Check it against local invasive plant lists (in Eugene, the city Native and Non-Native Plant List).</t>
  </si>
  <si>
    <t xml:space="preserve">Add a row at the bottom of the Palette. Fill every column, including Genus, Family, Water Class and Source.</t>
  </si>
  <si>
    <t xml:space="preserve">Start it at Tier B.</t>
  </si>
  <si>
    <t xml:space="preserve">The Install Log dropdown and Program Review pick it up by themselves (up to 150 species).</t>
  </si>
  <si>
    <t xml:space="preserve">W8. ASH TREES (EAB)</t>
  </si>
  <si>
    <t xml:space="preserve">For each ash tree, fill the ash fields on a Field Card: DBH, canopy dieback, EAB signs, value, site type and target.</t>
  </si>
  <si>
    <t xml:space="preserve">Ash Register: add one row per tree. The recommendation, replacement and costs fill in.</t>
  </si>
  <si>
    <t xml:space="preserve">Read the ash considerations in the Crosswalk. Treat healthy, high-value trees. Plant successors for the rest.</t>
  </si>
  <si>
    <t xml:space="preserve">If treated, enter the date in Last Treated. Put Next Treatment Due on the schedule.</t>
  </si>
  <si>
    <t xml:space="preserve">If a successor is planted, add it to the Install Log. Copy its Install ID into the register.</t>
  </si>
  <si>
    <t xml:space="preserve">Suspected EAB in Lane County: report it to the Oregon Invasive Species Hotline. Do not move the wood.</t>
  </si>
  <si>
    <t xml:space="preserve">Every 3 months, check EAB status and update the date on the Ash EAB tab.</t>
  </si>
  <si>
    <t xml:space="preserve">OPEN ITEMS — placeholder numbers to replace with local data</t>
  </si>
  <si>
    <t xml:space="preserve">1.</t>
  </si>
  <si>
    <t xml:space="preserve">Conversion Economics: shearing hours per visit, removal hours, stock costs, emergency removal costs. All blue cells there are estimates.</t>
  </si>
  <si>
    <t xml:space="preserve">2.</t>
  </si>
  <si>
    <t xml:space="preserve">Establishment Water: labor hours per watering visit, and the interval table. Check soil moisture at 6 to 8 in with a probe on the first plantings.</t>
  </si>
  <si>
    <t xml:space="preserve">3.</t>
  </si>
  <si>
    <t xml:space="preserve">Palette: sourcing ratings. Add grower names and lead times before the first order.</t>
  </si>
  <si>
    <t xml:space="preserve">4.</t>
  </si>
  <si>
    <t xml:space="preserve">Tolerance ratings and tiers are professional judgment, not trial data. The Install Log will correct them over time.</t>
  </si>
  <si>
    <t xml:space="preserve">5.</t>
  </si>
  <si>
    <t xml:space="preserve">Ash EAB: injection cost, planned removal cost, emergency multiplier and replacement cost. Also check EAB status every 3 months.</t>
  </si>
  <si>
    <t xml:space="preserve">CELL CONVENTIONS</t>
  </si>
  <si>
    <t xml:space="preserve">Yellow cell, blue text</t>
  </si>
  <si>
    <t xml:space="preserve">You type here.</t>
  </si>
  <si>
    <t xml:space="preserve">Black text</t>
  </si>
  <si>
    <t xml:space="preserve">Formula. Do not type over it.</t>
  </si>
  <si>
    <t xml:space="preserve">Tab colors</t>
  </si>
  <si>
    <t xml:space="preserve">Dark green = start. Green = field. Blue = planning. Orange = records. Grey = reference.</t>
  </si>
  <si>
    <t xml:space="preserve">Dropdowns</t>
  </si>
  <si>
    <t xml:space="preserve">Most input columns have dropdowns. A warning appears if you type a value that is not on the list.</t>
  </si>
  <si>
    <t xml:space="preserve">CONVERSION FIELD CARD</t>
  </si>
  <si>
    <t xml:space="preserve">Fill on site. Create an Install Log or Ash Register row after the visit.</t>
  </si>
  <si>
    <t xml:space="preserve">Owner</t>
  </si>
  <si>
    <t xml:space="preserve">Date</t>
  </si>
  <si>
    <t xml:space="preserve">Address</t>
  </si>
  <si>
    <t xml:space="preserve">Assessed by</t>
  </si>
  <si>
    <t xml:space="preserve">THE PLANT</t>
  </si>
  <si>
    <t xml:space="preserve">Legacy plant</t>
  </si>
  <si>
    <t xml:space="preserve">laurel / boxwood / arborvitae / photinia / birch / pear / plum / ash</t>
  </si>
  <si>
    <t xml:space="preserve">Scope</t>
  </si>
  <si>
    <t xml:space="preserve">length and width (ft), or stem count</t>
  </si>
  <si>
    <t xml:space="preserve">Class</t>
  </si>
  <si>
    <t xml:space="preserve">REMOVE SOON / OPTIONAL / PLAN SUCCESSION</t>
  </si>
  <si>
    <t xml:space="preserve">Condition</t>
  </si>
  <si>
    <t xml:space="preserve">good / fair / poor / failing</t>
  </si>
  <si>
    <t xml:space="preserve">THE SITE</t>
  </si>
  <si>
    <t xml:space="preserve">Soil group</t>
  </si>
  <si>
    <t xml:space="preserve">1 / 2 / 3  (see below)</t>
  </si>
  <si>
    <t xml:space="preserve">Aspect</t>
  </si>
  <si>
    <t xml:space="preserve">N NE E SE S SW W NW</t>
  </si>
  <si>
    <t xml:space="preserve">Water access</t>
  </si>
  <si>
    <t xml:space="preserve">irrigated? / hose bib distance</t>
  </si>
  <si>
    <t xml:space="preserve">Overhead wires</t>
  </si>
  <si>
    <t xml:space="preserve">Y / N</t>
  </si>
  <si>
    <t xml:space="preserve">Rooting volume</t>
  </si>
  <si>
    <t xml:space="preserve">open / restricted / severe</t>
  </si>
  <si>
    <t xml:space="preserve">Deer pressure</t>
  </si>
  <si>
    <t xml:space="preserve">none / moderate / heavy</t>
  </si>
  <si>
    <t xml:space="preserve">ASH ONLY — one card per ash tree</t>
  </si>
  <si>
    <t xml:space="preserve">DBH (in)</t>
  </si>
  <si>
    <t xml:space="preserve">Canopy dieback %</t>
  </si>
  <si>
    <t xml:space="preserve">estimate, top down</t>
  </si>
  <si>
    <t xml:space="preserve">EAB signs</t>
  </si>
  <si>
    <t xml:space="preserve">D-holes / woodpecker / splits / sprouts / none</t>
  </si>
  <si>
    <t xml:space="preserve">Near target</t>
  </si>
  <si>
    <t xml:space="preserve">house / road / play area / none</t>
  </si>
  <si>
    <t xml:space="preserve">Tree value</t>
  </si>
  <si>
    <t xml:space="preserve">high / medium / low</t>
  </si>
  <si>
    <t xml:space="preserve">Site type</t>
  </si>
  <si>
    <t xml:space="preserve">upland / wet / riparian</t>
  </si>
  <si>
    <t xml:space="preserve">THE CALL</t>
  </si>
  <si>
    <t xml:space="preserve">Recommended replacement</t>
  </si>
  <si>
    <t xml:space="preserve">from the quick reference below; ash: Ash Register decides</t>
  </si>
  <si>
    <t xml:space="preserve">Owner interest</t>
  </si>
  <si>
    <t xml:space="preserve">high / some / none</t>
  </si>
  <si>
    <t xml:space="preserve">Photos taken</t>
  </si>
  <si>
    <t xml:space="preserve">Follow-up action</t>
  </si>
  <si>
    <t xml:space="preserve">plan replacement / revisit / no action / add to phased plan</t>
  </si>
  <si>
    <t xml:space="preserve">Notes</t>
  </si>
  <si>
    <t xml:space="preserve">QUICK REFERENCE</t>
  </si>
  <si>
    <t xml:space="preserve">Primary replacement</t>
  </si>
  <si>
    <t xml:space="preserve">Note</t>
  </si>
  <si>
    <t xml:space="preserve">English laurel</t>
  </si>
  <si>
    <t xml:space="preserve">Pacific wax myrtle</t>
  </si>
  <si>
    <t xml:space="preserve">Optional</t>
  </si>
  <si>
    <t xml:space="preserve">Maintenance cost; city-listed invasive</t>
  </si>
  <si>
    <t xml:space="preserve">Boxwood</t>
  </si>
  <si>
    <t xml:space="preserve">Osmanthus delavayi</t>
  </si>
  <si>
    <t xml:space="preserve">Best payback; blight risk</t>
  </si>
  <si>
    <t xml:space="preserve">Arborvitae</t>
  </si>
  <si>
    <t xml:space="preserve">Incense cedar</t>
  </si>
  <si>
    <t xml:space="preserve">Remove soon</t>
  </si>
  <si>
    <t xml:space="preserve">Not western redcedar</t>
  </si>
  <si>
    <t xml:space="preserve">Photinia</t>
  </si>
  <si>
    <t xml:space="preserve">Osmanthus x burkwoodii</t>
  </si>
  <si>
    <t xml:space="preserve">Ends a recurring failure</t>
  </si>
  <si>
    <t xml:space="preserve">Birch</t>
  </si>
  <si>
    <t xml:space="preserve">Parrotia persica</t>
  </si>
  <si>
    <t xml:space="preserve">No white-bark equivalent</t>
  </si>
  <si>
    <t xml:space="preserve">Bradford pear</t>
  </si>
  <si>
    <t xml:space="preserve">Plan removal before failure</t>
  </si>
  <si>
    <t xml:space="preserve">Flowering plum</t>
  </si>
  <si>
    <t xml:space="preserve">Cotinus 'Royal Purple'</t>
  </si>
  <si>
    <t xml:space="preserve">Keeps purple foliage</t>
  </si>
  <si>
    <t xml:space="preserve">Ash (EAB)</t>
  </si>
  <si>
    <t xml:space="preserve">Treat, plant first, or replace</t>
  </si>
  <si>
    <t xml:space="preserve">Plan succession</t>
  </si>
  <si>
    <t xml:space="preserve">Use the Ash EAB tab</t>
  </si>
  <si>
    <t xml:space="preserve">Any hedge 8+ ft wide</t>
  </si>
  <si>
    <t xml:space="preserve">Mixed hedgerow</t>
  </si>
  <si>
    <t xml:space="preserve">—</t>
  </si>
  <si>
    <t xml:space="preserve">See Hedgerow Design tab</t>
  </si>
  <si>
    <t xml:space="preserve">SOIL GROUP — FIELD CALL</t>
  </si>
  <si>
    <t xml:space="preserve">Group 1</t>
  </si>
  <si>
    <t xml:space="preserve">Valley bottom clay. Sticky when wet, cracks when dry. Mottled or grey-green at depth. Standing water in winter.</t>
  </si>
  <si>
    <t xml:space="preserve">Group 2</t>
  </si>
  <si>
    <t xml:space="preserve">Alluvial silt loam. Dark, crumbly, drains freely, no mottling. Floodplain and low terrace.</t>
  </si>
  <si>
    <t xml:space="preserve">Group 3</t>
  </si>
  <si>
    <t xml:space="preserve">Footslope or upland red clay. Reddish, on a slope, sheds water, moderately deep (Nekia, Bellpine, Dixonville) to very deep (Jory) over bedrock. Dry in summer.</t>
  </si>
  <si>
    <t xml:space="preserve">If unsure</t>
  </si>
  <si>
    <t xml:space="preserve">Dig 18 in. Fill with water. Not drained in 1 hour = Group 1, whatever the soil survey says.</t>
  </si>
  <si>
    <t xml:space="preserve">Remove soon = failing or hazardous: plan around timing and risk. Optional = healthy but costly to keep: compare the 15-year cost. Plan succession = healthy ash before EAB arrives: treat, or plant a successor first. Suspected EAB in Lane County: report it; do not move the wood.</t>
  </si>
  <si>
    <t xml:space="preserve">Legacy Plant</t>
  </si>
  <si>
    <t xml:space="preserve">Typical Form</t>
  </si>
  <si>
    <t xml:space="preserve">Why It Costs / Fails</t>
  </si>
  <si>
    <t xml:space="preserve">Primary Replacement</t>
  </si>
  <si>
    <t xml:space="preserve">Alternates</t>
  </si>
  <si>
    <t xml:space="preserve">Soil Group Notes</t>
  </si>
  <si>
    <t xml:space="preserve">Maintenance Delta</t>
  </si>
  <si>
    <t xml:space="preserve">Considerations</t>
  </si>
  <si>
    <t xml:space="preserve">Prunus laurocerasus</t>
  </si>
  <si>
    <t xml:space="preserve">English laurel hedge</t>
  </si>
  <si>
    <t xml:space="preserve">Grows 2-3 ft a year, so it is sheared 2-3 times a year for as long as it stands. Shot hole fungus in wet springs. The City of Eugene lists it as invasive: birds carry the seed into forest understory.</t>
  </si>
  <si>
    <t xml:space="preserve">Morella californica (Pacific wax myrtle)</t>
  </si>
  <si>
    <t xml:space="preserve">Osmanthus x burkwoodii (formal); Calocedrus decurrens (tall screen); Frangula californica 'Eve Case' (medium)</t>
  </si>
  <si>
    <t xml:space="preserve">Wax myrtle works on all three groups. Osmanthus and Frangula want drainage - berm on Group 1.</t>
  </si>
  <si>
    <t xml:space="preserve">2-3 shearings/yr down to 1</t>
  </si>
  <si>
    <t xml:space="preserve">It is healthy, so the reason to replace it is cost and spread. Over 15 years, shearing costs more than the conversion. The City of Eugene lists it as invasive: birds carry its seed into nearby woods.</t>
  </si>
  <si>
    <t xml:space="preserve">Buxus sempervirens</t>
  </si>
  <si>
    <t xml:space="preserve">Low formal hedge, balls</t>
  </si>
  <si>
    <t xml:space="preserve">Sheared 2-3x/yr to hold form. Boxwood blight has been found in Oregon nurseries and landscapes since 2011. Infected plants must be removed and destroyed. Leafminer and psyllid add spray cycles.</t>
  </si>
  <si>
    <t xml:space="preserve">Berberis aquifolium 'Compacta' (informal low mass); dwarf Arctostaphylos or prostrate rosemary on hot dry edges</t>
  </si>
  <si>
    <t xml:space="preserve">Osmanthus prefers drainage - Group 2 and 3 first. On Group 1, use Berberis aquifolium.</t>
  </si>
  <si>
    <t xml:space="preserve">3 shearings/yr down to 1</t>
  </si>
  <si>
    <t xml:space="preserve">The best payback of the hedge conversions, because shearing frequency drives the cost. Boxwood blight is the other risk: once it reaches a hedge, it can take the whole planting.</t>
  </si>
  <si>
    <t xml:space="preserve">Thuja occidentalis</t>
  </si>
  <si>
    <t xml:space="preserve">'Emerald Green' privacy hedge</t>
  </si>
  <si>
    <t xml:space="preserve">Shallow-rooted and increasingly drought-stressed in valley summers. Flagging, spider mites, Phytophthora, deer browse. Individual plants die and leave gaps that cannot be filled in kind.</t>
  </si>
  <si>
    <t xml:space="preserve">Calocedrus decurrens (incense cedar)</t>
  </si>
  <si>
    <t xml:space="preserve">Morella californica (shorter); Hesperocyparis arizonica on sharply drained sites only</t>
  </si>
  <si>
    <t xml:space="preserve">Incense cedar on Groups 2 and 3; wax myrtle on Group 1. Do NOT default to western redcedar - Thuja plicata is itself in drought decline across the valley.</t>
  </si>
  <si>
    <t xml:space="preserve">Shearing plus ongoing gap replacement, down to periodic thinning</t>
  </si>
  <si>
    <t xml:space="preserve">If plants are already dying one at a time, replacing the whole run once costs less than patching it every year.</t>
  </si>
  <si>
    <t xml:space="preserve">Photinia x fraseri</t>
  </si>
  <si>
    <t xml:space="preserve">Red tip hedge</t>
  </si>
  <si>
    <t xml:space="preserve">Entomosporium leaf spot is near-inevitable in valley wet springs, and shearing makes it worse by forcing susceptible new growth. Fungicide cycles plus shearing means up to 4 visits/yr on a plant that keeps declining.</t>
  </si>
  <si>
    <t xml:space="preserve">Morella californica; Arbutus unedo 'Compacta' (red stems, winter flowers and fruit)</t>
  </si>
  <si>
    <t xml:space="preserve">Osmanthus and Arbutus want drainage. Wax myrtle for Group 1.</t>
  </si>
  <si>
    <t xml:space="preserve">Up to 4 visits/yr down to 1, and spraying stops</t>
  </si>
  <si>
    <t xml:space="preserve">Leaf spot returns every wet spring. Replacing it ends a recurring failure rather than changing a healthy planting.</t>
  </si>
  <si>
    <t xml:space="preserve">Betula pendula / papyrifera</t>
  </si>
  <si>
    <t xml:space="preserve">Specimen or clump birch</t>
  </si>
  <si>
    <t xml:space="preserve">Bronze birch borer plus chronic summer drought stress. Aphid honeydew on cars and patios. Once crown dieback starts in the valley it does not reverse.</t>
  </si>
  <si>
    <t xml:space="preserve">Quercus imbricaria (if space); Arbutus unedo 'Marina' multi-stem (evergreen); Acer griseum (not in Palette; needs more water)</t>
  </si>
  <si>
    <t xml:space="preserve">Parrotia works Groups 1 and 2, caution on 3. Bur or swamp white oak for wet Group 1 with room.</t>
  </si>
  <si>
    <t xml:space="preserve">Removal risk falls; pruning roughly halves</t>
  </si>
  <si>
    <t xml:space="preserve">No drought-tolerant tree has the same white bark. Choose the replacement for bark, structure and fall color instead.</t>
  </si>
  <si>
    <t xml:space="preserve">Pyrus calleryana</t>
  </si>
  <si>
    <t xml:space="preserve">'Bradford' street/yard tree</t>
  </si>
  <si>
    <t xml:space="preserve">Included bark at codominant unions causes structural failure at roughly 15-25 years, usually in an ice or wind event. Fireblight. Invasive seedling spread from fertile cultivar crosses.</t>
  </si>
  <si>
    <t xml:space="preserve">Maackia amurensis (under wires); Quercus imbricaria (larger sites); Arbutus unedo 'Marina'</t>
  </si>
  <si>
    <t xml:space="preserve">Parrotia and Maackia are fine on Groups 1 and 2. Shingle oak on Groups 1 and 2 where there is room. Arbutus needs drainage: Groups 2 and 3 only. Maackia for small rooting volume.</t>
  </si>
  <si>
    <t xml:space="preserve">Structural pruning cycle replaces failure response</t>
  </si>
  <si>
    <t xml:space="preserve">Replacement rarely pays for itself in maintenance savings. The reason is timing: the tree will fail, and a planned removal is cheaper and safer than an emergency one.</t>
  </si>
  <si>
    <t xml:space="preserve">Prunus cerasifera</t>
  </si>
  <si>
    <t xml:space="preserve">'Thundercloud' flowering plum</t>
  </si>
  <si>
    <t xml:space="preserve">Short-lived at 20-25 years. Aphids, brown rot, bacterial canker, borers. Fruit litter and root suckering. Most valley specimens are already past their useful life.</t>
  </si>
  <si>
    <t xml:space="preserve">Cotinus coggygria 'Royal Purple'</t>
  </si>
  <si>
    <t xml:space="preserve">Parrotia persica; Maackia amurensis; Cercis canadensis 'Forest Pansy' (not in Palette; needs more water)</t>
  </si>
  <si>
    <t xml:space="preserve">Cotinus wants drainage - Group 2 and 3. Parrotia for Group 1.</t>
  </si>
  <si>
    <t xml:space="preserve">Ends aphid/fruit callbacks; pruning drops sharply</t>
  </si>
  <si>
    <t xml:space="preserve">Smokebush keeps the purple foliage that made the plum the choice, and it handles drought. Matching the look is what makes the change stick.</t>
  </si>
  <si>
    <t xml:space="preserve">Fraxinus spp.</t>
  </si>
  <si>
    <t xml:space="preserve">Oregon, green and white ash</t>
  </si>
  <si>
    <t xml:space="preserve">EAB is confirmed in five northern Willamette Valley counties, as close as Salem. It is not confirmed in Lane County as of August 2026. Untreated ash will die once EAB arrives. Treated ash needs injection every 2-3 years while EAB is present. Eugene does not allow ash planting on public land.</t>
  </si>
  <si>
    <t xml:space="preserve">Decide per tree in the Ash Register tab: treat, plant first, or replace. Replacements: Quercus bicolor (wet) / Quercus garryana (upland)</t>
  </si>
  <si>
    <t xml:space="preserve">Quercus macrocarpa; Malus fusca (wet sites, small spaces); Quercus imbricaria; Parrotia persica. Riparian sites: natives only (Malus fusca, Salix, Q. garryana).</t>
  </si>
  <si>
    <t xml:space="preserve">Swamp white oak is the strongest analog for the wet bottomland niche Oregon ash holds. Bur oak second. Garry oak on Group 3. Use Pacific crabapple between oaks to keep the oak share down.</t>
  </si>
  <si>
    <t xml:space="preserve">Treat: injection every 2-3 years. Replace: ends treatment and the risk of a dead tree.</t>
  </si>
  <si>
    <t xml:space="preserve">For one tree, treatment usually costs less than replacement over 15 years. Treat healthy, valuable trees before EAB arrives. For the rest, plant a successor now so there is shade when the ash comes out. Never let an untreated ash die near a house or road.</t>
  </si>
  <si>
    <t xml:space="preserve">READING THE CLASS COLUMN</t>
  </si>
  <si>
    <t xml:space="preserve">REMOVE SOON: the plant is failing, structurally unsound or under pest pressure. The cost will come anyway; the choice is when. Maintenance savings are not the reason. Hazard, timing and the cost of waiting are.</t>
  </si>
  <si>
    <t xml:space="preserve">OPTIONAL: the plant is healthy but costly to keep. The cost curve is the reason. It needs a long horizon: 10 or more years under the same management. Payback runs 5-10 years.</t>
  </si>
  <si>
    <t xml:space="preserve">Do Remove soon replacements first. Their results show how the palette performs before Optional work starts.</t>
  </si>
  <si>
    <t xml:space="preserve">HEDGEROW OPTION</t>
  </si>
  <si>
    <t xml:space="preserve">For laurel, arborvitae and photinia hedges on sites 8 ft wide or more, consider a mixed hedgerow. It replaces one species with 6-10 and ends shearing. See the Hedgerow Design tab.</t>
  </si>
  <si>
    <t xml:space="preserve">SOURCE NOTE</t>
  </si>
  <si>
    <t xml:space="preserve">Invasive status: City of Eugene Native and Non-Native Plant List (Ordinance 20351, Exhibit F) names English laurel, sweet cherry and black locust as invasive. English laurel is not confirmed on the state noxious weed list.</t>
  </si>
  <si>
    <t xml:space="preserve">PLAN SUCCESSION CLASS (ash in Lane County)</t>
  </si>
  <si>
    <t xml:space="preserve">PLAN SUCCESSION: the plant is healthy now but faces a known threat. Today this means ash before EAB reaches Lane County. It is not failing. Treat high-value trees and plant a successor for the rest. It becomes Remove soon when the threat arrives. See the Ash EAB tab.</t>
  </si>
  <si>
    <t xml:space="preserve">ASH TREES AND EMERALD ASH BORER (EAB)</t>
  </si>
  <si>
    <t xml:space="preserve">Use this tab for every ash tree you manage. Decide per tree: treat, plant a successor first, or remove and replace. Record each tree in the Ash Register tab. The recommendation and costs fill in there.</t>
  </si>
  <si>
    <t xml:space="preserve">EAB STATUS — check every 3 months</t>
  </si>
  <si>
    <t xml:space="preserve">Confirmed counties</t>
  </si>
  <si>
    <t xml:space="preserve">Clackamas, Marion, Multnomah, Washington and Yamhill (ODA quarantine). Nearest confirmed sites to Eugene: Salem and Silverton (2026).</t>
  </si>
  <si>
    <t xml:space="preserve">Lane County</t>
  </si>
  <si>
    <t xml:space="preserve">Not confirmed as of August 2026 reports. Ash in Lane is in the Plan succession window: treatment works best now, before infestation.</t>
  </si>
  <si>
    <t xml:space="preserve">Status last checked</t>
  </si>
  <si>
    <t xml:space="preserve">Update this date each time you check. Sources: oregon-eab-geo.hub.arcgis.com and the ODA EAB page.</t>
  </si>
  <si>
    <t xml:space="preserve">Next check due</t>
  </si>
  <si>
    <t xml:space="preserve">Amber within 30 days, red when overdue.</t>
  </si>
  <si>
    <t xml:space="preserve">COSTS — placeholders, replace with local prices</t>
  </si>
  <si>
    <t xml:space="preserve">Injection cost ($ per inch DBH, per treatment)</t>
  </si>
  <si>
    <t xml:space="preserve">Emamectin benzoate trunk injection. Published range about $7-16 per inch.</t>
  </si>
  <si>
    <t xml:space="preserve">Retreatment interval (years)</t>
  </si>
  <si>
    <t xml:space="preserve">Labels allow 2-3 years. Use 2 to stay conservative.</t>
  </si>
  <si>
    <t xml:space="preserve">Planned removal ($ per inch DBH)</t>
  </si>
  <si>
    <t xml:space="preserve">Placeholder. An 18 in tree = $1,440. Published range for 18 in: about $1,200-2,400.</t>
  </si>
  <si>
    <t xml:space="preserve">Emergency multiplier for dead ash</t>
  </si>
  <si>
    <t xml:space="preserve">Dead ash is brittle. Lift or crane, more rigging, more risk.</t>
  </si>
  <si>
    <t xml:space="preserve">Replacement tree, installed, with 3-year establishment ($)</t>
  </si>
  <si>
    <t xml:space="preserve">Stock, install labor and 3-year establishment care. Matches Conversion Economics.</t>
  </si>
  <si>
    <t xml:space="preserve">DBH used in Conversion Economics (in)</t>
  </si>
  <si>
    <t xml:space="preserve">Example tree for the Ash column on that tab.</t>
  </si>
  <si>
    <t xml:space="preserve">From Start Here.</t>
  </si>
  <si>
    <t xml:space="preserve">REGISTER SUMMARY — updates from the Ash Register</t>
  </si>
  <si>
    <t xml:space="preserve">Ash trees recorded</t>
  </si>
  <si>
    <t xml:space="preserve">Recommendation: REMOVE NOW</t>
  </si>
  <si>
    <t xml:space="preserve">Recommendation: GRAY ZONE</t>
  </si>
  <si>
    <t xml:space="preserve">Recommendation: TREAT</t>
  </si>
  <si>
    <t xml:space="preserve">Recommendation: PLANT FIRST, REMOVE LATER</t>
  </si>
  <si>
    <t xml:space="preserve">Recommendation: REMOVE AND REPLACE</t>
  </si>
  <si>
    <t xml:space="preserve">Trees under treatment</t>
  </si>
  <si>
    <t xml:space="preserve">Treatments overdue</t>
  </si>
  <si>
    <t xml:space="preserve">Inches of DBH under treatment</t>
  </si>
  <si>
    <t xml:space="preserve">Treatment cost per year, all treated trees</t>
  </si>
  <si>
    <t xml:space="preserve">DECISION RULES — the Ash Register applies these</t>
  </si>
  <si>
    <t xml:space="preserve">More than 50% canopy dieback: REMOVE NOW. The damaged trunk cannot move insecticide. Dead ash turns brittle fast.</t>
  </si>
  <si>
    <t xml:space="preserve">30-50% dieback: GRAY ZONE. Assess the structure. Treat only a high-value tree with sound structure. Otherwise remove.</t>
  </si>
  <si>
    <t xml:space="preserve">Less than 30% dieback and high value: TREAT. Inject every 2-3 years for as long as EAB is present. Start before EAB arrives.</t>
  </si>
  <si>
    <t xml:space="preserve">Less than 30% dieback, EAB signs present, not high value: REMOVE AND REPLACE on a planned schedule.</t>
  </si>
  <si>
    <t xml:space="preserve">Less than 30% dieback, no signs, not high value: PLANT FIRST, REMOVE LATER (phased replacement, below).</t>
  </si>
  <si>
    <t xml:space="preserve">6.</t>
  </si>
  <si>
    <t xml:space="preserve">Near a target (house, road, play area): never let an untreated ash die in place.</t>
  </si>
  <si>
    <t xml:space="preserve">CONVERSION CLASS — PLAN SUCCESSION</t>
  </si>
  <si>
    <t xml:space="preserve">Ash in Lane County is in the Plan succession class, not Remove soon. The tree is healthy now, but it will decline once EAB arrives unless it is treated. It is not failing. Decide per tree: protect the trees worth protecting, and plant successors for the rest while the ash still gives shade. When EAB is confirmed in Lane County, untreated ash moves to Remove soon.</t>
  </si>
  <si>
    <t xml:space="preserve">THE COSTS</t>
  </si>
  <si>
    <t xml:space="preserve">For one tree, treatment is usually cheaper than replacement over 15 years. An 18 in ash costs about $216 per treatment, or about $1,700 over 15 years. Removal and replacement costs about $2,800. So replacement is not a saving. Treatment also keeps the canopy. Replacement makes sense when the tree is low value, declining or badly placed, or when no one will commit to long-term treatment.</t>
  </si>
  <si>
    <t xml:space="preserve">PHASED REPLACEMENT — plant first, remove later</t>
  </si>
  <si>
    <t xml:space="preserve">Plant the successor now, in light: outside the ash dripline or in a canopy gap.</t>
  </si>
  <si>
    <t xml:space="preserve">Water it on the Establishment Water schedule. Add it to the Install Log. Copy its Install ID to the Ash Register.</t>
  </si>
  <si>
    <t xml:space="preserve">Check the ash at each visit: update dieback % and EAB signs in the register.</t>
  </si>
  <si>
    <t xml:space="preserve">Remove the ash when dieback reaches 30%, when EAB is confirmed in Lane County, or when the successor gives useful shade (often year 5-8).</t>
  </si>
  <si>
    <t xml:space="preserve">Plan the removal. Waiting until the ash dies adds the emergency multiplier.</t>
  </si>
  <si>
    <t xml:space="preserve">EAB SIGNS — field check</t>
  </si>
  <si>
    <t xml:space="preserve">•</t>
  </si>
  <si>
    <t xml:space="preserve">D-shaped exit holes, about 1/8 in wide, in the bark.</t>
  </si>
  <si>
    <t xml:space="preserve">Woodpecker damage: patches of light, flaked bark ('blonding').</t>
  </si>
  <si>
    <t xml:space="preserve">Vertical bark splits with S-shaped tunnels under the bark.</t>
  </si>
  <si>
    <t xml:space="preserve">Sprouts on the trunk or at the base.</t>
  </si>
  <si>
    <t xml:space="preserve">Crown thinning from the top down.</t>
  </si>
  <si>
    <t xml:space="preserve">A suspected EAB find in Lane County would be a new county record. Report it to the Oregon Invasive Species Hotline (oregoninvasiveshotline.org) before moving any wood from the site.</t>
  </si>
  <si>
    <t xml:space="preserve">QUARANTINE AND WOOD HANDLING</t>
  </si>
  <si>
    <t xml:space="preserve">Current quarantine: Clackamas, Marion, Multnomah, Washington and Yamhill counties. Ash, olive and white fringetree material cannot leave these counties without an ODA compliance agreement. This includes logs, chips, mulch, stumps, roots, branches and nursery stock. Hardwood firewood cannot leave either.</t>
  </si>
  <si>
    <t xml:space="preserve">Never bring ash material or hardwood firewood from those counties into Lane County. This includes loads from work sites in those counties.</t>
  </si>
  <si>
    <t xml:space="preserve">If Lane County is added: ash chips and wood must stay in the county. Plan local disposal for every ash removal. Chip and leave on site where the owner allows.</t>
  </si>
  <si>
    <t xml:space="preserve">Do not move any wood off a site with suspected EAB until it is reported.</t>
  </si>
  <si>
    <t xml:space="preserve">REMOVING DEAD OR DYING ASH</t>
  </si>
  <si>
    <t xml:space="preserve">EAB-killed ash dries and turns brittle within 1-2 years of death. Limbs fail without warning.</t>
  </si>
  <si>
    <t xml:space="preserve">Do not climb an ash with more than 50% dieback. Use a lift or crane. Include it in the cost.</t>
  </si>
  <si>
    <t xml:space="preserve">Cost dead-tree removal at the emergency multiplier above.</t>
  </si>
  <si>
    <t xml:space="preserve">RIPARIAN AND WETLAND SITES</t>
  </si>
  <si>
    <t xml:space="preserve">Oregon ash often grows in wetlands and along streams. On these sites, replace with natives only. Swamp white oak is not native to Oregon. Use it in landscape settings, not in restoration or riparian work.</t>
  </si>
  <si>
    <t xml:space="preserve">Native options</t>
  </si>
  <si>
    <t xml:space="preserve">Pacific crabapple (Malus fusca); Hooker's willow and other native willows; Oregon white oak on drier edges; red-osier dogwood and Pacific ninebark below.</t>
  </si>
  <si>
    <t xml:space="preserve">Permits</t>
  </si>
  <si>
    <t xml:space="preserve">Work in wetlands and stream buffers may need city, county or state permits. Check before work starts.</t>
  </si>
  <si>
    <t xml:space="preserve">Future option</t>
  </si>
  <si>
    <t xml:space="preserve">State scientists are planting Oregon ash to find trees with natural EAB resistance. If resistant stock becomes available, revisit the Oregon ash row in the Palette.</t>
  </si>
  <si>
    <t xml:space="preserve">WHEN EAB IS CONFIRMED IN LANE COUNTY</t>
  </si>
  <si>
    <t xml:space="preserve">Move every untreated ash from Plan succession to Remove soon.</t>
  </si>
  <si>
    <t xml:space="preserve">Treat every TREAT tree that is not yet treated. Do it this season.</t>
  </si>
  <si>
    <t xml:space="preserve">Re-check every tree in the register. Update dieback and signs.</t>
  </si>
  <si>
    <t xml:space="preserve">Check whether Lane is added to the quarantine. Update disposal plans.</t>
  </si>
  <si>
    <t xml:space="preserve">Update the status rows at the top of this tab.</t>
  </si>
  <si>
    <t xml:space="preserve">SOURCES</t>
  </si>
  <si>
    <t xml:space="preserve">ODA: Emerald Ash Borer</t>
  </si>
  <si>
    <t xml:space="preserve">oregon.gov/oda/ippm/survey-treatment/pages/emerald-ash-borer.aspx — quarantine counties and rules.</t>
  </si>
  <si>
    <t xml:space="preserve">Capital Press, 2026-06-24</t>
  </si>
  <si>
    <t xml:space="preserve">EAB spreads to Tualatin, Newberg and Silverton.</t>
  </si>
  <si>
    <t xml:space="preserve">KPTV, 2026-08-06</t>
  </si>
  <si>
    <t xml:space="preserve">EAB detected in Salem and Beaverton.</t>
  </si>
  <si>
    <t xml:space="preserve">A.M. Leonard: EAB treatment vs. removal</t>
  </si>
  <si>
    <t xml:space="preserve">Injection about $7-16 per inch DBH per 2-year cycle. Removal ranges by size. Treat under 30% canopy loss; remove over 50%.</t>
  </si>
  <si>
    <t xml:space="preserve">Frerichs Tree Service: EAB pricing</t>
  </si>
  <si>
    <t xml:space="preserve">Example: $12 per inch DBH, every other year.</t>
  </si>
  <si>
    <t xml:space="preserve">KLCC, 2025-09-14</t>
  </si>
  <si>
    <t xml:space="preserve">State scientists planting Oregon ash to find natural resistance.</t>
  </si>
  <si>
    <t xml:space="preserve">Scientific Name</t>
  </si>
  <si>
    <t xml:space="preserve">Common Name</t>
  </si>
  <si>
    <t xml:space="preserve">Genus</t>
  </si>
  <si>
    <t xml:space="preserve">Family</t>
  </si>
  <si>
    <t xml:space="preserve">Cultivar / Clone</t>
  </si>
  <si>
    <t xml:space="preserve">Habit</t>
  </si>
  <si>
    <t xml:space="preserve">Mature H x W (ft)</t>
  </si>
  <si>
    <t xml:space="preserve">Max Ht (ft)</t>
  </si>
  <si>
    <t xml:space="preserve">Summer Drought</t>
  </si>
  <si>
    <t xml:space="preserve">Winter-Wet / Clay</t>
  </si>
  <si>
    <t xml:space="preserve">Tier</t>
  </si>
  <si>
    <t xml:space="preserve">Grp 1 Clay</t>
  </si>
  <si>
    <t xml:space="preserve">Grp 2 Silt Loam</t>
  </si>
  <si>
    <t xml:space="preserve">Grp 3 Upland</t>
  </si>
  <si>
    <t xml:space="preserve">Under Wires</t>
  </si>
  <si>
    <t xml:space="preserve">Water Class</t>
  </si>
  <si>
    <t xml:space="preserve">Sourcing 1-5</t>
  </si>
  <si>
    <t xml:space="preserve">Pest / Disease Risk</t>
  </si>
  <si>
    <t xml:space="preserve">Spec Notes</t>
  </si>
  <si>
    <t xml:space="preserve">Source</t>
  </si>
  <si>
    <t xml:space="preserve">Review By</t>
  </si>
  <si>
    <t xml:space="preserve">Maclura pomifera 'White Shield'</t>
  </si>
  <si>
    <t xml:space="preserve">Osage Orange</t>
  </si>
  <si>
    <t xml:space="preserve">Maclura</t>
  </si>
  <si>
    <t xml:space="preserve">Moraceae</t>
  </si>
  <si>
    <t xml:space="preserve">'White Shield' - thornless, fruitless male clone. VERIFY CLONE.</t>
  </si>
  <si>
    <t xml:space="preserve">Canopy tree · Dec</t>
  </si>
  <si>
    <t xml:space="preserve">35-50 x 35-45</t>
  </si>
  <si>
    <t xml:space="preserve">Very High</t>
  </si>
  <si>
    <t xml:space="preserve">High</t>
  </si>
  <si>
    <t xml:space="preserve">A</t>
  </si>
  <si>
    <t xml:space="preserve">Yes</t>
  </si>
  <si>
    <t xml:space="preserve">No</t>
  </si>
  <si>
    <t xml:space="preserve">Standard</t>
  </si>
  <si>
    <t xml:space="preserve">Very few</t>
  </si>
  <si>
    <t xml:space="preserve">Near-indestructible on clay, compaction and drought. Entire value depends on getting the true clone - seedling Maclura is thorny and drops softball fruit. Inspect at the nursery. Watch for: Suckers if roots are damaged.</t>
  </si>
  <si>
    <t xml:space="preserve">SelecTree 536</t>
  </si>
  <si>
    <t xml:space="preserve">Quercus bicolor</t>
  </si>
  <si>
    <t xml:space="preserve">Swamp White Oak</t>
  </si>
  <si>
    <t xml:space="preserve">Quercus</t>
  </si>
  <si>
    <t xml:space="preserve">Fagaceae</t>
  </si>
  <si>
    <t xml:space="preserve">Straight species</t>
  </si>
  <si>
    <t xml:space="preserve">50-60 x 50-60</t>
  </si>
  <si>
    <t xml:space="preserve">Caution</t>
  </si>
  <si>
    <t xml:space="preserve">No significant regional issues</t>
  </si>
  <si>
    <t xml:space="preserve">Added specifically as the Oregon ash replacement. Tolerates extended winter saturation better than anything else on this list while still handling summer drought - that combination is exactly the wet-bottomland niche ash occupies and almost nothing else fills. Watch for: Acorn litter.</t>
  </si>
  <si>
    <t xml:space="preserve">Regional addition</t>
  </si>
  <si>
    <t xml:space="preserve">Quercus garryana</t>
  </si>
  <si>
    <t xml:space="preserve">Oregon White Oak</t>
  </si>
  <si>
    <t xml:space="preserve">Local provenance</t>
  </si>
  <si>
    <t xml:space="preserve">50-80 x 50-80</t>
  </si>
  <si>
    <t xml:space="preserve">Minor oak twig blight; jumping gall wasp cosmetic</t>
  </si>
  <si>
    <t xml:space="preserve">The valley benchmark: evolved for exactly the wet-winter/dry-summer regime. Highest habitat value on the list. Slow establishment - do not overwater after year 3. Watch for: Acorn and leaf litter.</t>
  </si>
  <si>
    <t xml:space="preserve">Quercus imbricaria</t>
  </si>
  <si>
    <t xml:space="preserve">Shingle Oak</t>
  </si>
  <si>
    <t xml:space="preserve">Canopy tree · Dec (marcescent)</t>
  </si>
  <si>
    <t xml:space="preserve">Few serious issues</t>
  </si>
  <si>
    <t xml:space="preserve">Marcescence is the whole story: excellent tall winter screen, but not for anyone who wants a tidy look. Know this before planting. Watch for: Holds dead brown leaves through winter.</t>
  </si>
  <si>
    <t xml:space="preserve">Quercus macrocarpa</t>
  </si>
  <si>
    <t xml:space="preserve">Bur Oak</t>
  </si>
  <si>
    <t xml:space="preserve">60-80 x 60-80</t>
  </si>
  <si>
    <t xml:space="preserve">Strongest large-canopy option for winter-saturated clay. Tolerates compaction, seasonal flooding and drought. Slow, so plant larger stock or expect patience. Watch for: Large acorns - avoid over walks/patios.</t>
  </si>
  <si>
    <t xml:space="preserve">Calocedrus decurrens</t>
  </si>
  <si>
    <t xml:space="preserve">Incense Cedar</t>
  </si>
  <si>
    <t xml:space="preserve">Calocedrus</t>
  </si>
  <si>
    <t xml:space="preserve">Cupressaceae</t>
  </si>
  <si>
    <t xml:space="preserve">Conifer · Evg</t>
  </si>
  <si>
    <t xml:space="preserve">40-70 x 15-25</t>
  </si>
  <si>
    <t xml:space="preserve">Moderate</t>
  </si>
  <si>
    <t xml:space="preserve">Generally clean; avoid saturated soil</t>
  </si>
  <si>
    <t xml:space="preserve">Best native tall evergreen screen. Narrow footprint suits property lines. Better drainage tolerance than most conifers but still avoid Dayton/Bashaw bottoms.</t>
  </si>
  <si>
    <t xml:space="preserve">Pinus ponderosa</t>
  </si>
  <si>
    <t xml:space="preserve">Ponderosa Pine</t>
  </si>
  <si>
    <t xml:space="preserve">Pinus</t>
  </si>
  <si>
    <t xml:space="preserve">Pinaceae</t>
  </si>
  <si>
    <t xml:space="preserve">SPECIFY Willamette Valley seed source</t>
  </si>
  <si>
    <t xml:space="preserve">60-100 x 25-40</t>
  </si>
  <si>
    <t xml:space="preserve">Sequoia pitch moth (cosmetic); avoid summer pruning</t>
  </si>
  <si>
    <t xml:space="preserve">Provenance is not optional: the Willamette Valley race tolerates seasonally saturated clay that interior sources will not. Confirm seed source in writing on the PO. Watch for: Needle and cone litter.</t>
  </si>
  <si>
    <t xml:space="preserve">Amelanchier alnifolia</t>
  </si>
  <si>
    <t xml:space="preserve">Western Serviceberry</t>
  </si>
  <si>
    <t xml:space="preserve">Amelanchier</t>
  </si>
  <si>
    <t xml:space="preserve">Rosaceae</t>
  </si>
  <si>
    <t xml:space="preserve">Large shrub / small tree · Dec</t>
  </si>
  <si>
    <t xml:space="preserve">6-15 x 6-12</t>
  </si>
  <si>
    <t xml:space="preserve">Rust (cedar-apple type) near junipers; fireblight</t>
  </si>
  <si>
    <t xml:space="preserve">Spring bloom, edible fruit, fall color. Not for true bottomland; use on Group 1 only on a berm.</t>
  </si>
  <si>
    <t xml:space="preserve">OSU EM 8721</t>
  </si>
  <si>
    <t xml:space="preserve">Arbutus unedo</t>
  </si>
  <si>
    <t xml:space="preserve">Strawberry Tree</t>
  </si>
  <si>
    <t xml:space="preserve">Arbutus</t>
  </si>
  <si>
    <t xml:space="preserve">Ericaceae</t>
  </si>
  <si>
    <t xml:space="preserve">'Compacta' / 'Elfin King' hedging; 'Marina' as small tree</t>
  </si>
  <si>
    <t xml:space="preserve">Large shrub / small tree · Evg</t>
  </si>
  <si>
    <t xml:space="preserve">8-25 x 8-25</t>
  </si>
  <si>
    <t xml:space="preserve">Root rot in saturated soil; otherwise clean</t>
  </si>
  <si>
    <t xml:space="preserve">Best hedge option from the source list and a strong multi-season performer. Keep off valley-bottom clay or plant on a raised berm. Site away from patios and light-colored paving. Watch for: Fruit drop stains hardscape.</t>
  </si>
  <si>
    <t xml:space="preserve">Cotinus coggygria</t>
  </si>
  <si>
    <t xml:space="preserve">Smokebush</t>
  </si>
  <si>
    <t xml:space="preserve">Cotinus</t>
  </si>
  <si>
    <t xml:space="preserve">Anacardiaceae</t>
  </si>
  <si>
    <t xml:space="preserve">'Royal Purple', 'Grace' (larger)</t>
  </si>
  <si>
    <t xml:space="preserve">10-15 x 10-15</t>
  </si>
  <si>
    <t xml:space="preserve">Verticillium wilt on poorly drained sites</t>
  </si>
  <si>
    <t xml:space="preserve">The purple-foliage replacement for a flowering plum. Genuinely drought-hardy, unlike the Prunus it replaces. Can be coppiced for larger leaf color or grown on as a small multi-stem tree.</t>
  </si>
  <si>
    <t xml:space="preserve">Great Plant Picks</t>
  </si>
  <si>
    <t xml:space="preserve">Maackia amurensis</t>
  </si>
  <si>
    <t xml:space="preserve">Amur Maackia</t>
  </si>
  <si>
    <t xml:space="preserve">Maackia</t>
  </si>
  <si>
    <t xml:space="preserve">Fabaceae</t>
  </si>
  <si>
    <t xml:space="preserve">Small tree · Dec</t>
  </si>
  <si>
    <t xml:space="preserve">20-30 x 20-30</t>
  </si>
  <si>
    <t xml:space="preserve">No significant issues</t>
  </si>
  <si>
    <t xml:space="preserve">Borderline A/B - avoid true bottomland positions. Nitrogen fixer, tolerates poor and compacted soil, coppery peeling bark. One of few genuine under-wire options here.</t>
  </si>
  <si>
    <t xml:space="preserve">Malus fusca</t>
  </si>
  <si>
    <t xml:space="preserve">Pacific Crabapple</t>
  </si>
  <si>
    <t xml:space="preserve">Malus</t>
  </si>
  <si>
    <t xml:space="preserve">Straight species, local seed source</t>
  </si>
  <si>
    <t xml:space="preserve">15-30 x 15-25</t>
  </si>
  <si>
    <t xml:space="preserve">Apple scab and rust possible; usually minor</t>
  </si>
  <si>
    <t xml:space="preserve">Native wetland-edge tree. One of very few non-oak trees for Group 1 clay. Thorny spurs; small fruit feeds birds. Center-row tree in a wet-site hedgerow.</t>
  </si>
  <si>
    <t xml:space="preserve">Persian Ironwood</t>
  </si>
  <si>
    <t xml:space="preserve">Parrotia</t>
  </si>
  <si>
    <t xml:space="preserve">Hamamelidaceae</t>
  </si>
  <si>
    <t xml:space="preserve">'Vanessa' / 'Persian Spire' for narrow sites</t>
  </si>
  <si>
    <t xml:space="preserve">20-40 x 15-30</t>
  </si>
  <si>
    <t xml:space="preserve">Effectively pest-free in the PNW</t>
  </si>
  <si>
    <t xml:space="preserve">Most soil-agnostic species on the list and an easy choice: exfoliating bark, reliable fall color, clean habit. A good default where an ornamental is wanted rather than a native.</t>
  </si>
  <si>
    <t xml:space="preserve">Sambucus cerulea</t>
  </si>
  <si>
    <t xml:space="preserve">Blue Elderberry</t>
  </si>
  <si>
    <t xml:space="preserve">Sambucus</t>
  </si>
  <si>
    <t xml:space="preserve">Viburnaceae</t>
  </si>
  <si>
    <t xml:space="preserve">10-20 x 10-20</t>
  </si>
  <si>
    <t xml:space="preserve">Few; stems are short-lived</t>
  </si>
  <si>
    <t xml:space="preserve">Fits all three soil groups. Fast. High pollinator and bird value. Renew by removing old stems every few years. Edible fruit after cooking; raw fruit, stems and leaves are toxic.</t>
  </si>
  <si>
    <t xml:space="preserve">Berberis aquifolium</t>
  </si>
  <si>
    <t xml:space="preserve">Tall Oregon Grape</t>
  </si>
  <si>
    <t xml:space="preserve">Berberis</t>
  </si>
  <si>
    <t xml:space="preserve">Berberidaceae</t>
  </si>
  <si>
    <t xml:space="preserve">syn. Mahonia aquifolium; 'Compacta' for low mass</t>
  </si>
  <si>
    <t xml:space="preserve">Shrub / hedge · Evg</t>
  </si>
  <si>
    <t xml:space="preserve">3-8 x 3-6</t>
  </si>
  <si>
    <t xml:space="preserve">Occasional rust and leaf spot in shade</t>
  </si>
  <si>
    <t xml:space="preserve">Handles the full soil range plus deep shade. Excellent under-canopy layer where turf currently fails. Very low input once established. Watch for: Spiny foliage - keep off walkway edges.</t>
  </si>
  <si>
    <t xml:space="preserve">Cornus sericea</t>
  </si>
  <si>
    <t xml:space="preserve">Red-Osier Dogwood</t>
  </si>
  <si>
    <t xml:space="preserve">Cornus</t>
  </si>
  <si>
    <t xml:space="preserve">Cornaceae</t>
  </si>
  <si>
    <t xml:space="preserve">Straight species; 'Isanti' for compact</t>
  </si>
  <si>
    <t xml:space="preserve">Shrub / hedge · Dec</t>
  </si>
  <si>
    <t xml:space="preserve">6-12 x 8-12</t>
  </si>
  <si>
    <t xml:space="preserve">Leaf spot and anthracnose; minor</t>
  </si>
  <si>
    <t xml:space="preserve">syn. Cornus stolonifera. Red winter stems. Spreads by layering; good on banks and swales. Coppice old stems every 3-4 years to keep stem color.</t>
  </si>
  <si>
    <t xml:space="preserve">Corylus cornuta</t>
  </si>
  <si>
    <t xml:space="preserve">Beaked Hazelnut</t>
  </si>
  <si>
    <t xml:space="preserve">Corylus</t>
  </si>
  <si>
    <t xml:space="preserve">Betulaceae</t>
  </si>
  <si>
    <t xml:space="preserve">var. californica (western form)</t>
  </si>
  <si>
    <t xml:space="preserve">Large shrub · Dec</t>
  </si>
  <si>
    <t xml:space="preserve">10-20 x 10-15</t>
  </si>
  <si>
    <t xml:space="preserve">Eastern filbert blight exposure near orchards; native form is more tolerant</t>
  </si>
  <si>
    <t xml:space="preserve">Understory and hedgerow filler. Takes shade. Squirrels take most nuts. Check distance to commercial hazelnut orchards before specifying.</t>
  </si>
  <si>
    <t xml:space="preserve">Frangula californica</t>
  </si>
  <si>
    <t xml:space="preserve">California Coffeeberry</t>
  </si>
  <si>
    <t xml:space="preserve">Frangula</t>
  </si>
  <si>
    <t xml:space="preserve">Rhamnaceae</t>
  </si>
  <si>
    <t xml:space="preserve">'Eve Case', 'Mound San Bruno'</t>
  </si>
  <si>
    <t xml:space="preserve">4-8 x 4-8</t>
  </si>
  <si>
    <t xml:space="preserve">Generally clean</t>
  </si>
  <si>
    <t xml:space="preserve">Clean evergreen hedge with better drought tolerance than most. Prefers drainage - berm it on Group 1 soils or substitute wax myrtle. Watch for: Berry drop.</t>
  </si>
  <si>
    <t xml:space="preserve">Garrya elliptica</t>
  </si>
  <si>
    <t xml:space="preserve">Coast Silktassel</t>
  </si>
  <si>
    <t xml:space="preserve">Garrya</t>
  </si>
  <si>
    <t xml:space="preserve">Garryaceae</t>
  </si>
  <si>
    <t xml:space="preserve">'James Roof' (male, longest catkins)</t>
  </si>
  <si>
    <t xml:space="preserve">8-15 x 8-12</t>
  </si>
  <si>
    <t xml:space="preserve">Drought-adapted</t>
  </si>
  <si>
    <t xml:space="preserve">Generally clean; dislikes wet feet</t>
  </si>
  <si>
    <t xml:space="preserve">Winter catkins make it a strong ornamental choice for a drought planting. Needs drainage and shelter from hard east wind.</t>
  </si>
  <si>
    <t xml:space="preserve">Holodiscus discolor</t>
  </si>
  <si>
    <t xml:space="preserve">Oceanspray</t>
  </si>
  <si>
    <t xml:space="preserve">Holodiscus</t>
  </si>
  <si>
    <t xml:space="preserve">8-15 x 6-12</t>
  </si>
  <si>
    <t xml:space="preserve">None significant</t>
  </si>
  <si>
    <t xml:space="preserve">Genuinely no-input once established. Tolerates both saturated winter clay and full summer drought - one of the few plants that does both well. Watch for: Persistent spent flower heads (winter interest or litter, depending on taste).</t>
  </si>
  <si>
    <t xml:space="preserve">Lonicera involucrata</t>
  </si>
  <si>
    <t xml:space="preserve">Twinberry</t>
  </si>
  <si>
    <t xml:space="preserve">Lonicera</t>
  </si>
  <si>
    <t xml:space="preserve">Caprifoliaceae</t>
  </si>
  <si>
    <t xml:space="preserve">5-10 x 5-8</t>
  </si>
  <si>
    <t xml:space="preserve">Wet-edge shrub. Hummingbird flowers. Needs moisture; Group 1 and moist Group 2 only. Berries not edible.</t>
  </si>
  <si>
    <t xml:space="preserve">Morella californica</t>
  </si>
  <si>
    <t xml:space="preserve">Pacific Wax Myrtle</t>
  </si>
  <si>
    <t xml:space="preserve">Morella</t>
  </si>
  <si>
    <t xml:space="preserve">Myricaceae</t>
  </si>
  <si>
    <t xml:space="preserve">syn. Myrica californica</t>
  </si>
  <si>
    <t xml:space="preserve">10-25 x 8-15</t>
  </si>
  <si>
    <t xml:space="preserve">Workhorse hedge for winter-wet clay. Shears to 6-15 ft, nitrogen-fixing, fast establishment. The primary replacement for laurel and arborvitae.</t>
  </si>
  <si>
    <t xml:space="preserve">Oemleria cerasiformis</t>
  </si>
  <si>
    <t xml:space="preserve">Osoberry / Indian Plum</t>
  </si>
  <si>
    <t xml:space="preserve">Oemleria</t>
  </si>
  <si>
    <t xml:space="preserve">5-15 x 5-10</t>
  </si>
  <si>
    <t xml:space="preserve">First native shrub to bloom (Feb-Mar). Early pollinator food. Drops leaves early in dry summers; this is normal. Separate male and female plants; fruit only on female.</t>
  </si>
  <si>
    <t xml:space="preserve">Delavay Osmanthus</t>
  </si>
  <si>
    <t xml:space="preserve">Osmanthus</t>
  </si>
  <si>
    <t xml:space="preserve">Oleaceae</t>
  </si>
  <si>
    <t xml:space="preserve">Generally clean; no blight equivalent</t>
  </si>
  <si>
    <t xml:space="preserve">The boxwood replacement. Fine texture, takes formal shearing, and roughly a third the growth rate - which is the point, since shearing frequency drives the cost. Not blight-susceptible.</t>
  </si>
  <si>
    <t xml:space="preserve">Burkwood Osmanthus</t>
  </si>
  <si>
    <t xml:space="preserve">Also O. delavayi for finer texture</t>
  </si>
  <si>
    <t xml:space="preserve">6-10 x 6-8</t>
  </si>
  <si>
    <t xml:space="preserve">The formal-hedge choice for a clipped look. Slower than laurel, which is the point - roughly half the shearing frequency.</t>
  </si>
  <si>
    <t xml:space="preserve">Physocarpus capitatus</t>
  </si>
  <si>
    <t xml:space="preserve">Pacific Ninebark</t>
  </si>
  <si>
    <t xml:space="preserve">Physocarpus</t>
  </si>
  <si>
    <t xml:space="preserve">6-12 x 6-10</t>
  </si>
  <si>
    <t xml:space="preserve">Powdery mildew in shade; minor</t>
  </si>
  <si>
    <t xml:space="preserve">Wet-site workhorse. Peeling bark, white spring flowers. Middle-row filler in wet hedgerows.</t>
  </si>
  <si>
    <t xml:space="preserve">Ribes sanguineum</t>
  </si>
  <si>
    <t xml:space="preserve">Red-Flowering Currant</t>
  </si>
  <si>
    <t xml:space="preserve">Ribes</t>
  </si>
  <si>
    <t xml:space="preserve">Grossulariaceae</t>
  </si>
  <si>
    <t xml:space="preserve">'King Edward VII', 'White Icicle'</t>
  </si>
  <si>
    <t xml:space="preserve">6-10 x 5-8</t>
  </si>
  <si>
    <t xml:space="preserve">White pine blister rust alternate host - check before use near 5-needle pines</t>
  </si>
  <si>
    <t xml:space="preserve">High early-season pollinator value and easy to like. It drops its leaves in late summer by design; this is the most common false alarm with native plantings. Watch for: Summer leaf drop in drought (normal).</t>
  </si>
  <si>
    <t xml:space="preserve">Rosa nutkana</t>
  </si>
  <si>
    <t xml:space="preserve">Nootka Rose</t>
  </si>
  <si>
    <t xml:space="preserve">Rosa</t>
  </si>
  <si>
    <t xml:space="preserve">Black spot and rust; minor</t>
  </si>
  <si>
    <t xml:space="preserve">Thorny barrier edge. Suckers into a thicket; plan for it. Hips feed birds through winter. Keep off walkways.</t>
  </si>
  <si>
    <t xml:space="preserve">Spiraea douglasii</t>
  </si>
  <si>
    <t xml:space="preserve">Western Spiraea / Hardhack</t>
  </si>
  <si>
    <t xml:space="preserve">Spiraea</t>
  </si>
  <si>
    <t xml:space="preserve">Shrub · Dec</t>
  </si>
  <si>
    <t xml:space="preserve">4-7 x spreading</t>
  </si>
  <si>
    <t xml:space="preserve">Takes standing water. Rhizomatous; forms thickets. Low edge row in wet hedgerows and swales. Needs an edge restraint in tidy settings.</t>
  </si>
  <si>
    <t xml:space="preserve">Symphoricarpos albus</t>
  </si>
  <si>
    <t xml:space="preserve">Common Snowberry</t>
  </si>
  <si>
    <t xml:space="preserve">Symphoricarpos</t>
  </si>
  <si>
    <t xml:space="preserve">3-6 x 3-6</t>
  </si>
  <si>
    <t xml:space="preserve">Best choice for difficult wet-then-dry banks and utility strips. Spreads by rhizome, so give it a defined area or an edge restraint. Watch for: Rhizomatous - will spread; not for tidy borders.</t>
  </si>
  <si>
    <t xml:space="preserve">Pistacia chinensis</t>
  </si>
  <si>
    <t xml:space="preserve">Chinese Pistache</t>
  </si>
  <si>
    <t xml:space="preserve">Pistacia</t>
  </si>
  <si>
    <t xml:space="preserve">Male clones only ('Keith Davey')</t>
  </si>
  <si>
    <t xml:space="preserve">30-50 x 30-40</t>
  </si>
  <si>
    <t xml:space="preserve">Low</t>
  </si>
  <si>
    <t xml:space="preserve">B</t>
  </si>
  <si>
    <t xml:space="preserve">Sharp drainage is mandatory. Also runs slower and colors less reliably here than in its California trials - expect less reliable fall color than in California. Watch for: Female trees fruit heavily.</t>
  </si>
  <si>
    <t xml:space="preserve">Quercus kelloggii</t>
  </si>
  <si>
    <t xml:space="preserve">California Black Oak</t>
  </si>
  <si>
    <t xml:space="preserve">SW Oregon provenance preferred</t>
  </si>
  <si>
    <t xml:space="preserve">50-80 x 40-70</t>
  </si>
  <si>
    <t xml:space="preserve">Known Phytophthora ramorum host (SOD quarantine is Curry Co., not Lane)</t>
  </si>
  <si>
    <t xml:space="preserve">Credible assisted-migration candidate. Taprooted and transplant-sensitive: plant small container stock or direct seed, never large B&amp;B. Upland sites only. Watch for: Acorn and leaf litter. Check the sudden oak death quarantine boundary each year.</t>
  </si>
  <si>
    <t xml:space="preserve">Quercus wislizeni</t>
  </si>
  <si>
    <t xml:space="preserve">Interior Live Oak</t>
  </si>
  <si>
    <t xml:space="preserve">Canopy tree · Evg</t>
  </si>
  <si>
    <t xml:space="preserve">30-60 x 30-60</t>
  </si>
  <si>
    <t xml:space="preserve">Upland/well-drained only. Sourcing is the binding constraint - Portland reports evergreen oaks are hard to obtain in usable caliper. Arrange stock with a grower 2-3 years ahead. Watch for: Year-round leaf drop.</t>
  </si>
  <si>
    <t xml:space="preserve">Tilia tomentosa</t>
  </si>
  <si>
    <t xml:space="preserve">Silver Linden</t>
  </si>
  <si>
    <t xml:space="preserve">Tilia</t>
  </si>
  <si>
    <t xml:space="preserve">Malvaceae</t>
  </si>
  <si>
    <t xml:space="preserve">'Sterling'</t>
  </si>
  <si>
    <t xml:space="preserve">50-70 x 40-50</t>
  </si>
  <si>
    <t xml:space="preserve">PRIME Japanese beetle host. ODA eradication funded only through the 2027 crop year; Lane Co. clear as of 2025 detections.</t>
  </si>
  <si>
    <t xml:space="preserve">Climatically fine, strategically risky. It is a 50-year tree facing a pest whose control depends on state funding renewed every two years. Use it only if you accept that risk. Watch for: Honeydew (less than other Tilia). Review when state Japanese beetle funding is next decided.</t>
  </si>
  <si>
    <t xml:space="preserve">Hesperocyparis arizonica</t>
  </si>
  <si>
    <t xml:space="preserve">Arizona Cypress</t>
  </si>
  <si>
    <t xml:space="preserve">Hesperocyparis</t>
  </si>
  <si>
    <t xml:space="preserve">'Blue Ice', 'Carolina Sapphire'</t>
  </si>
  <si>
    <t xml:space="preserve">30-50 x 15-25</t>
  </si>
  <si>
    <t xml:space="preserve">Seiridium and Botryosphaeria canker in cool wet springs; Phytophthora in wet soil</t>
  </si>
  <si>
    <t xml:space="preserve">Fastest screen on the list, and the one most likely to fail. Restrict to sharply drained, sunny, well-ventilated sites. Never plant as a solid single-species hedge row - canker will take the whole run.</t>
  </si>
  <si>
    <t xml:space="preserve">Salix hookeriana</t>
  </si>
  <si>
    <t xml:space="preserve">Hooker's Willow</t>
  </si>
  <si>
    <t xml:space="preserve">Salix</t>
  </si>
  <si>
    <t xml:space="preserve">Salicaceae</t>
  </si>
  <si>
    <t xml:space="preserve">Straight species; plant from live stakes</t>
  </si>
  <si>
    <t xml:space="preserve">10-25 x 10-20</t>
  </si>
  <si>
    <t xml:space="preserve">Willow borers, rust, canker</t>
  </si>
  <si>
    <t xml:space="preserve">Aggressive roots. Keep 50+ ft from sewer lines, drains and foundations. Rural swales and pond edges only. Cheap and fast from cuttings.</t>
  </si>
  <si>
    <t xml:space="preserve">Arctostaphylos densiflora</t>
  </si>
  <si>
    <t xml:space="preserve">Vine Hill Manzanita</t>
  </si>
  <si>
    <t xml:space="preserve">Arctostaphylos</t>
  </si>
  <si>
    <t xml:space="preserve">'Howard McMinn' - the reliable clone here</t>
  </si>
  <si>
    <t xml:space="preserve">Shrub · Evg</t>
  </si>
  <si>
    <t xml:space="preserve">5-7 x 6-8</t>
  </si>
  <si>
    <t xml:space="preserve">Phytophthora and branch dieback in wet or irrigated soil</t>
  </si>
  <si>
    <t xml:space="preserve">Superb on Group 3 slopes, reliably fatal in Group 1 bottoms. Never install on drip irrigation past year 2. Berm and use coarse mineral mulch, not bark.</t>
  </si>
  <si>
    <t xml:space="preserve">Ceanothus thyrsiflorus</t>
  </si>
  <si>
    <t xml:space="preserve">Blueblossom</t>
  </si>
  <si>
    <t xml:space="preserve">Ceanothus</t>
  </si>
  <si>
    <t xml:space="preserve">'Victoria' is the hardiest reliable clone</t>
  </si>
  <si>
    <t xml:space="preserve">6-12 x 6-12</t>
  </si>
  <si>
    <t xml:space="preserve">Root rot with summer water; hard-freeze damage in severe winters</t>
  </si>
  <si>
    <t xml:space="preserve">Plan on a 10-15 year lifespan and no summer water. Fast and spectacular, but not a permanent plant; do not use it where a long-lived hedge is needed. Watch for: Short-lived.</t>
  </si>
  <si>
    <t xml:space="preserve">Cistus x hybridus</t>
  </si>
  <si>
    <t xml:space="preserve">White Rockrose</t>
  </si>
  <si>
    <t xml:space="preserve">Cistus</t>
  </si>
  <si>
    <t xml:space="preserve">Cistaceae</t>
  </si>
  <si>
    <t xml:space="preserve">Also C. x purpureus</t>
  </si>
  <si>
    <t xml:space="preserve">2-4 x 4-6</t>
  </si>
  <si>
    <t xml:space="preserve">Very Low</t>
  </si>
  <si>
    <t xml:space="preserve">Root rot in winter-wet soil; does not respond to hard pruning</t>
  </si>
  <si>
    <t xml:space="preserve">Group 3 slopes and hell strips only. Cannot be renovated by cutting back into old wood - plan on replacing it at 10-12 years. Watch for: Short-lived; gets leggy.</t>
  </si>
  <si>
    <t xml:space="preserve">Salvia rosmarinus</t>
  </si>
  <si>
    <t xml:space="preserve">Rosemary</t>
  </si>
  <si>
    <t xml:space="preserve">Salvia</t>
  </si>
  <si>
    <t xml:space="preserve">Lamiaceae</t>
  </si>
  <si>
    <t xml:space="preserve">'Tuscan Blue' upright; 'Huntington Carpet' prostrate</t>
  </si>
  <si>
    <t xml:space="preserve">2-5 x 2-4</t>
  </si>
  <si>
    <t xml:space="preserve">Root rot on heavy soil</t>
  </si>
  <si>
    <t xml:space="preserve">Only on sharply drained sites. Popular, but on Group 1 clay use wax myrtle instead. Watch for: Gets woody and open with age.</t>
  </si>
  <si>
    <t xml:space="preserve">Aesculus x carnea</t>
  </si>
  <si>
    <t xml:space="preserve">Red Horsechestnut</t>
  </si>
  <si>
    <t xml:space="preserve">Aesculus</t>
  </si>
  <si>
    <t xml:space="preserve">Sapindaceae</t>
  </si>
  <si>
    <t xml:space="preserve">'Briotii', 'Fort McNair'</t>
  </si>
  <si>
    <t xml:space="preserve">30-40 x 30-40</t>
  </si>
  <si>
    <t xml:space="preserve">C</t>
  </si>
  <si>
    <t xml:space="preserve">Guignardia leaf blotch; heat and drought scorch</t>
  </si>
  <si>
    <t xml:space="preserve">Fails the low-input standard. Scorches by August in the valley without extra water. Not recommended. Watch for: Fruit litter.</t>
  </si>
  <si>
    <t xml:space="preserve">Thuja plicata</t>
  </si>
  <si>
    <t xml:space="preserve">Western Redcedar</t>
  </si>
  <si>
    <t xml:space="preserve">Thuja</t>
  </si>
  <si>
    <t xml:space="preserve">50-70 x 15-25</t>
  </si>
  <si>
    <t xml:space="preserve">Drought dieback now common in the valley</t>
  </si>
  <si>
    <t xml:space="preserve">Listed in EM 8721. Declining in valley summers. Only on shaded, moist Group 2 sites with long-term water. Not a low-input plant.</t>
  </si>
  <si>
    <t xml:space="preserve">Viburnum opulus</t>
  </si>
  <si>
    <t xml:space="preserve">Highbush Cranberry</t>
  </si>
  <si>
    <t xml:space="preserve">Viburnum</t>
  </si>
  <si>
    <t xml:space="preserve">Native var. americanum ONLY</t>
  </si>
  <si>
    <t xml:space="preserve">8-12 x 8-12</t>
  </si>
  <si>
    <t xml:space="preserve">Viburnum leaf beetle; European form spreads by birds</t>
  </si>
  <si>
    <t xml:space="preserve">Listed in EM 8721. Nurseries often sell the European form, which spreads. Buy only the native variety, or do not use it.</t>
  </si>
  <si>
    <t xml:space="preserve">Fraxinus latifolia</t>
  </si>
  <si>
    <t xml:space="preserve">Oregon Ash</t>
  </si>
  <si>
    <t xml:space="preserve">Fraxinus</t>
  </si>
  <si>
    <t xml:space="preserve">40-80 x 30-50</t>
  </si>
  <si>
    <t xml:space="preserve">Reject</t>
  </si>
  <si>
    <t xml:space="preserve">Emerald ash borer confirmed in Oregon</t>
  </si>
  <si>
    <t xml:space="preserve">Listed in EM 8721 as wet-tolerant. It is the tree being replaced. Use Quercus bicolor or Malus fusca (natives only on riparian sites). For existing ash, see the Ash and EAB page. Review each year against EAB spread, and if EAB-resistant Oregon ash stock becomes available.</t>
  </si>
  <si>
    <t xml:space="preserve">Prunus avium</t>
  </si>
  <si>
    <t xml:space="preserve">Sweet Cherry</t>
  </si>
  <si>
    <t xml:space="preserve">Prunus</t>
  </si>
  <si>
    <t xml:space="preserve">30-40 x 25-35</t>
  </si>
  <si>
    <t xml:space="preserve">Bird-dispersed; spreads into woodland</t>
  </si>
  <si>
    <t xml:space="preserve">Listed in EM 8721, but it is a common invader of Willamette Valley oak woodland. Do not plant.</t>
  </si>
  <si>
    <t xml:space="preserve">Robinia pseudoacacia</t>
  </si>
  <si>
    <t xml:space="preserve">Black Locust</t>
  </si>
  <si>
    <t xml:space="preserve">Robinia</t>
  </si>
  <si>
    <t xml:space="preserve">40-60 x 30-40</t>
  </si>
  <si>
    <t xml:space="preserve">Locust borer; aggressive root suckers</t>
  </si>
  <si>
    <t xml:space="preserve">Listed in EM 8721. Suckers widely and naturalizes along valley roads and streams. Thorny. Do not plant.</t>
  </si>
  <si>
    <t xml:space="preserve">x Chitalpa tashkentensis</t>
  </si>
  <si>
    <t xml:space="preserve">Chitalpa</t>
  </si>
  <si>
    <t xml:space="preserve">Bignoniaceae</t>
  </si>
  <si>
    <t xml:space="preserve">'Pink Dawn', 'Morning Cloud'</t>
  </si>
  <si>
    <t xml:space="preserve">Powdery mildew; Xylella-associated decline</t>
  </si>
  <si>
    <t xml:space="preserve">A desert hybrid requiring heat and low humidity. Wrong climate, wrong soil, wrong lifespan for a long-term planting. Do not plant. Watch for: Weak wood; short-lived (15-25 yrs).</t>
  </si>
  <si>
    <t xml:space="preserve">Elaeagnus umbellata</t>
  </si>
  <si>
    <t xml:space="preserve">Autumn Olive</t>
  </si>
  <si>
    <t xml:space="preserve">Elaeagnus</t>
  </si>
  <si>
    <t xml:space="preserve">Elaeagnaceae</t>
  </si>
  <si>
    <t xml:space="preserve">12-20 x 12-20</t>
  </si>
  <si>
    <t xml:space="preserve">Bird-dispersed; invasive in much of the US</t>
  </si>
  <si>
    <t xml:space="preserve">Listed in EM 8721 as an edible hedgerow plant. Widely invasive. Do not plant.</t>
  </si>
  <si>
    <t xml:space="preserve">HEDGEROW DESIGN — MIXED PLANTINGS</t>
  </si>
  <si>
    <t xml:space="preserve">Based on OSU Extension EM 8721, A Guide to Hedgerows (Monnette and Hobbs; revised 2020, reviewed 2023). A hedgerow is a mixed, layered planting in place of a single-species hedge. It gives screening, habitat and pest resilience in one planting. Use it where the site has room.</t>
  </si>
  <si>
    <t xml:space="preserve">QUANTITY CALCULATOR</t>
  </si>
  <si>
    <t xml:space="preserve">Hedgerow length (ft)</t>
  </si>
  <si>
    <t xml:space="preserve">Measure along the line.</t>
  </si>
  <si>
    <t xml:space="preserve">Number of rows</t>
  </si>
  <si>
    <t xml:space="preserve">2 for residential lines; 3 or more where width allows.</t>
  </si>
  <si>
    <t xml:space="preserve">Spacing in the row (ft)</t>
  </si>
  <si>
    <t xml:space="preserve">EM 8721: 6-8 ft. Use 4-6 ft for a faster screen.</t>
  </si>
  <si>
    <t xml:space="preserve">Spacing between rows (ft)</t>
  </si>
  <si>
    <t xml:space="preserve">EM 8721: 8-10 ft.</t>
  </si>
  <si>
    <t xml:space="preserve">Plants per row</t>
  </si>
  <si>
    <t xml:space="preserve">Staggered rows use the same count.</t>
  </si>
  <si>
    <t xml:space="preserve">Total plants</t>
  </si>
  <si>
    <t xml:space="preserve">Approximate width needed (ft)</t>
  </si>
  <si>
    <t xml:space="preserve">Row spacing plus half a plant spread each side.</t>
  </si>
  <si>
    <t xml:space="preserve">Most rose-family plants allowed (30%)</t>
  </si>
  <si>
    <t xml:space="preserve">Malus, Physocarpus, Oemleria, Rosa, Spiraea, Amelanchier, Holodiscus.</t>
  </si>
  <si>
    <t xml:space="preserve">Most Tier B plants allowed</t>
  </si>
  <si>
    <t xml:space="preserve">From the Tier B cap in Start Here settings.</t>
  </si>
  <si>
    <t xml:space="preserve">Evergreens for winter screen (1 in 3 of one row)</t>
  </si>
  <si>
    <t xml:space="preserve">Usually Morella californica in the screen row.</t>
  </si>
  <si>
    <t xml:space="preserve">DESIGN STANDARD — EM 8721 AND LOCAL ADAPTATION</t>
  </si>
  <si>
    <t xml:space="preserve">Parameter</t>
  </si>
  <si>
    <t xml:space="preserve">EM 8721 guidance</t>
  </si>
  <si>
    <t xml:space="preserve">Local adaptation</t>
  </si>
  <si>
    <t xml:space="preserve">Rows</t>
  </si>
  <si>
    <t xml:space="preserve">4 or more rows is best. One row still gives some benefit.</t>
  </si>
  <si>
    <t xml:space="preserve">Residential lines: 2 staggered rows is the practical minimum. Use 3 or more on rural-fringe, commercial and HOA common areas.</t>
  </si>
  <si>
    <t xml:space="preserve">Width</t>
  </si>
  <si>
    <t xml:space="preserve">Wider than 20 ft works best for wildlife. A 20 ft hedgerow can hold 2 shrub rows around 1 tree row.</t>
  </si>
  <si>
    <t xml:space="preserve">Most residential lines give 6-12 ft. Do not expect much habitat value below about 10 ft. Use the full width where the land exists.</t>
  </si>
  <si>
    <t xml:space="preserve">Spacing</t>
  </si>
  <si>
    <t xml:space="preserve">6-8 ft apart in the row. Rows 8-10 ft apart.</t>
  </si>
  <si>
    <t xml:space="preserve">Stagger the rows. Tighten to 4-6 ft in the row for a faster screen; this adds stock cost.</t>
  </si>
  <si>
    <t xml:space="preserve">Layering</t>
  </si>
  <si>
    <t xml:space="preserve">Tallest plants in the center row. Shorter plants between and along the edges.</t>
  </si>
  <si>
    <t xml:space="preserve">On a property line, put the tallest row on the side of the view to block. Keep the low row toward the area people use.</t>
  </si>
  <si>
    <t xml:space="preserve">Wind</t>
  </si>
  <si>
    <t xml:space="preserve">Plant rows across the prevailing wind. 40-50% density can cut wind speed by up to 75%. Winter windbreak: 2 evergreen rows plus 1 deciduous row.</t>
  </si>
  <si>
    <t xml:space="preserve">Valley storm winds come mostly from the south and southwest in winter. Summer winds come mostly from the north. Orient windbreaks to the season that matters on the site.</t>
  </si>
  <si>
    <t xml:space="preserve">Mulch and weeds</t>
  </si>
  <si>
    <t xml:space="preserve">At least 3 in of mulch. Keep a 6-8 ft mowed strip around the planting.</t>
  </si>
  <si>
    <t xml:space="preserve">3-4 in of arborist chip. This agrees with the guide.</t>
  </si>
  <si>
    <t xml:space="preserve">Fire</t>
  </si>
  <si>
    <t xml:space="preserve">The mowed strip also serves as fire protection.</t>
  </si>
  <si>
    <t xml:space="preserve">Keep hedgerows out of the 0-5 ft zone around structures. Do not put resinous evergreens next to buildings. Apply defensible-space standards on wildland-edge sites.</t>
  </si>
  <si>
    <t xml:space="preserve">Animals</t>
  </si>
  <si>
    <t xml:space="preserve">Hardware cloth for beaver and nutria. Trunk guards for voles and mice.</t>
  </si>
  <si>
    <t xml:space="preserve">Use the Field Card deer rating. Install guards at planting, not as a later fix.</t>
  </si>
  <si>
    <t xml:space="preserve">Planting time</t>
  </si>
  <si>
    <t xml:space="preserve">Fall planting in mild climates. Roots grow through the winter rains.</t>
  </si>
  <si>
    <t xml:space="preserve">Agrees with the October-March planting window. Fall is preferred.</t>
  </si>
  <si>
    <t xml:space="preserve">Irrigation</t>
  </si>
  <si>
    <t xml:space="preserve">Year 1: weekly. Year 2: every 2 weeks. Year 3: monthly. Water deeply. Most hedgerows fail without water in the first years.</t>
  </si>
  <si>
    <t xml:space="preserve">Agrees with the Group 2 intervals (7 / 14 / 28 days). Establishment Water adds the Group 1 and Group 3 changes.</t>
  </si>
  <si>
    <t xml:space="preserve">Timeline</t>
  </si>
  <si>
    <t xml:space="preserve">4-8 years to establish. 30+ years to reach maturity.</t>
  </si>
  <si>
    <t xml:space="preserve">Watering ends after year 3, but a hedgerow does not close until year 4-8. Keep up weed and edge control through the training tier (years 3-10).</t>
  </si>
  <si>
    <t xml:space="preserve">Diversity</t>
  </si>
  <si>
    <t xml:space="preserve">Plant a mix of species so one pest or disease cannot take the whole planting.</t>
  </si>
  <si>
    <t xml:space="preserve">Same rule as Program Review. One hedgerow can hold 6-10 species.</t>
  </si>
  <si>
    <t xml:space="preserve">TEMPLATE A — GROUP 1 WET CLAY, 3 ROWS, ABOUT 20 FT WIDE</t>
  </si>
  <si>
    <t xml:space="preserve">Row</t>
  </si>
  <si>
    <t xml:space="preserve">Species (pick 2-4 per row)</t>
  </si>
  <si>
    <t xml:space="preserve">Center — tall</t>
  </si>
  <si>
    <t xml:space="preserve">Malus fusca; Quercus garryana or Q. bicolor (1 per 25-30 ft only); Salix hookeriana (rural sites only)</t>
  </si>
  <si>
    <t xml:space="preserve">Do not fill the center row with oak. Use crabapple between oaks.</t>
  </si>
  <si>
    <t xml:space="preserve">Middle — screen</t>
  </si>
  <si>
    <t xml:space="preserve">Morella californica; Physocarpus capitatus; Sambucus cerulea; Cornus sericea; Oemleria cerasiformis</t>
  </si>
  <si>
    <t xml:space="preserve">Put Morella in every 2nd or 3rd slot. It is the only evergreen in this template. Without it the row is open in winter.</t>
  </si>
  <si>
    <t xml:space="preserve">Edge — low</t>
  </si>
  <si>
    <t xml:space="preserve">Spiraea douglasii; Rosa nutkana; Symphoricarpos albus; Lonicera involucrata</t>
  </si>
  <si>
    <t xml:space="preserve">All spread by roots or layering. Give them a defined strip and a mowed edge.</t>
  </si>
  <si>
    <t xml:space="preserve">FAMILY LIMIT: Malus, Physocarpus, Oemleria, Rosa and Spiraea are all rose family (Rosaceae). Keep them to 3 of every 10 plants or fewer. Fill the rest with Morella, Cornus, Sambucus, Lonicera, Symphoricarpos and oak. A test mix built mostly from rose-family natives reached about 70% one family.</t>
  </si>
  <si>
    <t xml:space="preserve">TEMPLATE B — NARROW RESIDENTIAL, 2 STAGGERED ROWS, 8-10 FT WIDE</t>
  </si>
  <si>
    <t xml:space="preserve">Species</t>
  </si>
  <si>
    <t xml:space="preserve">Back row</t>
  </si>
  <si>
    <t xml:space="preserve">Alternate Morella californica with Physocarpus capitatus (Groups 1-2) or Osmanthus x burkwoodii (Groups 2-3)</t>
  </si>
  <si>
    <t xml:space="preserve">Evergreen share gives winter screening. This is the direct replacement for a laurel or arborvitae hedge.</t>
  </si>
  <si>
    <t xml:space="preserve">Front row</t>
  </si>
  <si>
    <t xml:space="preserve">Ribes sanguineum; Cornus sericea 'Isanti'; Berberis aquifolium; Rosa nutkana only away from paths</t>
  </si>
  <si>
    <t xml:space="preserve">Mix for flowers, fruit and winter stem color. Informal. Not for a sheared look.</t>
  </si>
  <si>
    <t xml:space="preserve">WHERE IT FITS</t>
  </si>
  <si>
    <t xml:space="preserve">Consider a hedgerow for laurel, arborvitae and photinia replacements. The site needs 8 ft of width or more.</t>
  </si>
  <si>
    <t xml:space="preserve">Best fits rural-fringe, commercial, HOA common areas and larger lots. These have the width and the longer horizon.</t>
  </si>
  <si>
    <t xml:space="preserve">Use it where an informal look is acceptable. Not where a sheared line is wanted.</t>
  </si>
  <si>
    <t xml:space="preserve">Maintenance changes from shearing to renewal pruning and edge control. Use the Standard tier.</t>
  </si>
  <si>
    <t xml:space="preserve">Farms may qualify for cost-share: NRCS runs EQIP; the Farm Service Agency runs CREP. Ask the local Soil and Water Conservation District. Residential properties usually do not qualify.</t>
  </si>
  <si>
    <t xml:space="preserve">LIMITS OF THE SOURCE</t>
  </si>
  <si>
    <t xml:space="preserve">EM 8721 is a Pacific Northwest list written mostly for farms. Its asterisk marks wet-soil tolerance only. It does not rate summer drought, urban soils or invasive risk. Its species were screened on both axes here. Six listed plants are in the Palette as C or Reject, with reasons: sweet cherry, autumn olive, black locust, Oregon ash, western redcedar and highbush cranberry (European form).</t>
  </si>
  <si>
    <t xml:space="preserve">ESTABLISHMENT WATERING — YEARS 1-3</t>
  </si>
  <si>
    <t xml:space="preserve">Survival is decided in the first three dry seasons, not at planting. 'Drought-adapted' never means 'no water while establishing'. Write this plan down: whoever waters gets a printed copy (Watering Plan tab), and any replacement guarantee should refer to it.</t>
  </si>
  <si>
    <t xml:space="preserve">THE SEASON</t>
  </si>
  <si>
    <t xml:space="preserve">The watering season runs about June 15 to October 15 (length set in Start Here). Outside that window, extra water is not needed in a normal year. On Group 1 clay it does harm. Do not leave systems running into November.</t>
  </si>
  <si>
    <t xml:space="preserve">INTERVAL — DAYS BETWEEN WATERINGS (standard plants)</t>
  </si>
  <si>
    <t xml:space="preserve">Group 1 clay</t>
  </si>
  <si>
    <t xml:space="preserve">Group 2 silt loam</t>
  </si>
  <si>
    <t xml:space="preserve">Group 3 upland</t>
  </si>
  <si>
    <t xml:space="preserve">Year 1</t>
  </si>
  <si>
    <t xml:space="preserve">Year 2</t>
  </si>
  <si>
    <t xml:space="preserve">Year 3</t>
  </si>
  <si>
    <t xml:space="preserve">Clay holds water, so intervals stretch; the risk there is root rot, not drought. Group 3 soils are shallow and dry out fast, so intervals shorten. Always water deep and slow. The goal is to pull roots down and out of the planting hole.</t>
  </si>
  <si>
    <t xml:space="preserve">VOLUME AND METHOD</t>
  </si>
  <si>
    <t xml:space="preserve">Trees</t>
  </si>
  <si>
    <t xml:space="preserve">10 gallons per inch of trunk caliper each time. A 2 in tree takes 20 gallons.</t>
  </si>
  <si>
    <t xml:space="preserve">Shrubs</t>
  </si>
  <si>
    <t xml:space="preserve">About 1 gallon per gallon of container size. A 5 gal shrub takes about 5 gallons.</t>
  </si>
  <si>
    <t xml:space="preserve">Delivery</t>
  </si>
  <si>
    <t xml:space="preserve">Slow release only: gator bag, drip ring, or a hose on a trickle. Sprinklers and short spray cycles wet the mulch and nothing else. Build a 3 in soil ring at the root ball edge on flat sites.</t>
  </si>
  <si>
    <t xml:space="preserve">Mulch</t>
  </si>
  <si>
    <t xml:space="preserve">3-4 in coarse arborist chip, pulled clear of the trunk flare, out to the dripline. Renew in years 2 and 3. Mulch does more for survival than extra watering.</t>
  </si>
  <si>
    <t xml:space="preserve">DROUGHT-ADAPTED OVERRIDE — READ THIS ONE</t>
  </si>
  <si>
    <t xml:space="preserve">The Palette 'Water Class' column marks drought-adapted species (manzanita, ceanothus, rockrose, rosemary, Arizona cypress, silktassel and the California oaks). They run 1.5x the interval in years 1-2 and get NO extra water from year 3 on. Summer water past year 2 kills these plants more often than drought does. Never put them on a drip zone. Never add them to an existing irrigation schedule. If no one will commit to shutting the water off, choose a Standard species.</t>
  </si>
  <si>
    <t xml:space="preserve">HEAT EVENT OVERRIDE</t>
  </si>
  <si>
    <t xml:space="preserve">Three or more days in a row above 100 F: water every planting once, whatever the schedule or year. This includes stock in years 4-5. Water in the early morning or evening. The 2021 heat dome killed established plants that were fine the week before. Track these as separate watering events.</t>
  </si>
  <si>
    <t xml:space="preserve">CALCULATOR — ONE SITE</t>
  </si>
  <si>
    <t xml:space="preserve">Enter one site. Pick each plant from the dropdown; its water class fills in from the Palette. Visits are counted once per site, so mixed plantings are not double-counted. Drought-adapted plants get water on a longer cycle during the same visits.</t>
  </si>
  <si>
    <t xml:space="preserve">Soil group (1 / 2 / 3)</t>
  </si>
  <si>
    <t xml:space="preserve">From the Field Card.</t>
  </si>
  <si>
    <t xml:space="preserve">Labor hours per watering visit</t>
  </si>
  <si>
    <t xml:space="preserve">Whole site, travel included. Placeholder.</t>
  </si>
  <si>
    <t xml:space="preserve">From Start Here settings.</t>
  </si>
  <si>
    <t xml:space="preserve">Plant (from Palette)</t>
  </si>
  <si>
    <t xml:space="preserve">Water class</t>
  </si>
  <si>
    <t xml:space="preserve">Caliper (in)</t>
  </si>
  <si>
    <t xml:space="preserve">Container (gal)</t>
  </si>
  <si>
    <t xml:space="preserve">Count</t>
  </si>
  <si>
    <t xml:space="preserve">Gal each, per watering</t>
  </si>
  <si>
    <t xml:space="preserve">Yr 1 waterings</t>
  </si>
  <si>
    <t xml:space="preserve">Yr 2 waterings</t>
  </si>
  <si>
    <t xml:space="preserve">Yr 3 waterings</t>
  </si>
  <si>
    <t xml:space="preserve">3-yr gallons</t>
  </si>
  <si>
    <t xml:space="preserve">Site watering visits</t>
  </si>
  <si>
    <t xml:space="preserve">Gallons applied</t>
  </si>
  <si>
    <t xml:space="preserve">Labor hours</t>
  </si>
  <si>
    <t xml:space="preserve">Watering cost if hired out</t>
  </si>
  <si>
    <t xml:space="preserve">The bold 3-year total (right) feeds the 'Hired watering' line in Conversion Economics. Reliable watering is the biggest survival factor you control.</t>
  </si>
  <si>
    <t xml:space="preserve">WHAT TO HAND OVER</t>
  </si>
  <si>
    <t xml:space="preserve">At install</t>
  </si>
  <si>
    <t xml:space="preserve">The Watering Plan tab, printed: dates, gallons per plant, method and the shut-off date. Not verbal instructions.</t>
  </si>
  <si>
    <t xml:space="preserve">On the schedule</t>
  </si>
  <si>
    <t xml:space="preserve">Each watering visit as a scheduled item, if a contractor waters.</t>
  </si>
  <si>
    <t xml:space="preserve">In writing</t>
  </si>
  <si>
    <t xml:space="preserve">Any replacement guarantee depends on the plan being followed. Name who waters: owner or contractor.</t>
  </si>
  <si>
    <t xml:space="preserve">Year 3 exit</t>
  </si>
  <si>
    <t xml:space="preserve">Say when watering stops and why. Watering an oak into year 6 makes a shallow-rooted tree that fails in the first real drought.</t>
  </si>
  <si>
    <t xml:space="preserve">CHECKS AND LIMITS</t>
  </si>
  <si>
    <t xml:space="preserve">Independent check: OSU EM 8721 gives the same schedule for new hedgerows (weekly, then every 2 weeks, then monthly). That matches the Group 2 column here. The Group 1 and Group 3 columns are local changes to that base.</t>
  </si>
  <si>
    <t xml:space="preserve">Volumes and intervals are standard arboricultural practice adapted to local soils, not site measurements. Check soil moisture at 6-8 in with a probe on the first plantings and adjust the yellow interval table.</t>
  </si>
  <si>
    <t xml:space="preserve">YOUR NEW PLANTING — WATERING PLAN</t>
  </si>
  <si>
    <t xml:space="preserve">Please keep this page. Any replacement guarantee depends on following it.</t>
  </si>
  <si>
    <t xml:space="preserve">Site address</t>
  </si>
  <si>
    <t xml:space="preserve">Install date</t>
  </si>
  <si>
    <t xml:space="preserve">Watering done by</t>
  </si>
  <si>
    <t xml:space="preserve">Contact</t>
  </si>
  <si>
    <t xml:space="preserve">Stop all watering after</t>
  </si>
  <si>
    <t xml:space="preserve">SCHEDULE — water every ... days, June 15 to October 15</t>
  </si>
  <si>
    <t xml:space="preserve">Plant</t>
  </si>
  <si>
    <t xml:space="preserve">Gallons each plant, each time</t>
  </si>
  <si>
    <t xml:space="preserve">HOW TO WATER</t>
  </si>
  <si>
    <t xml:space="preserve">Water slowly at the base of each plant: drip ring, soaker, watering bag, or a hose on a trickle. Do not use a sprinkler.</t>
  </si>
  <si>
    <t xml:space="preserve">Water deeply and less often. Short, frequent watering keeps roots shallow.</t>
  </si>
  <si>
    <t xml:space="preserve">Keep the mulch 3-4 in deep. Keep it pulled back from the trunk.</t>
  </si>
  <si>
    <t xml:space="preserve">Heat wave (3 or more days above 100 F): give every plant one extra watering, early morning or evening, in any year.</t>
  </si>
  <si>
    <t xml:space="preserve">'No water' means no water. Those plants are harmed by summer water after the second year.</t>
  </si>
  <si>
    <t xml:space="preserve">Stop all watering after the date above. Dry summers after year 3 make deep, strong roots.</t>
  </si>
  <si>
    <t xml:space="preserve">7.</t>
  </si>
  <si>
    <t xml:space="preserve">Call your contact if leaves wilt, brown or drop outside of fall.</t>
  </si>
  <si>
    <t xml:space="preserve">CONVERSION ECONOMICS</t>
  </si>
  <si>
    <t xml:space="preserve">Blue cells are placeholder estimates. Replace them with local figures before relying on the results. The shape of the result holds; the paybacks will move.</t>
  </si>
  <si>
    <t xml:space="preserve">From Start Here</t>
  </si>
  <si>
    <t xml:space="preserve">Scenario</t>
  </si>
  <si>
    <t xml:space="preserve">English Laurel</t>
  </si>
  <si>
    <t xml:space="preserve">Bradford Pear</t>
  </si>
  <si>
    <t xml:space="preserve">Ash: keep treating vs. replace</t>
  </si>
  <si>
    <t xml:space="preserve">Unit basis</t>
  </si>
  <si>
    <t xml:space="preserve">100 lf hedge</t>
  </si>
  <si>
    <t xml:space="preserve">50 lf low hedge</t>
  </si>
  <si>
    <t xml:space="preserve">per tree</t>
  </si>
  <si>
    <t xml:space="preserve">per tree, DBH from Ash EAB</t>
  </si>
  <si>
    <t xml:space="preserve">CURRENT MAINTENANCE</t>
  </si>
  <si>
    <t xml:space="preserve">Service visits per year</t>
  </si>
  <si>
    <t xml:space="preserve">Labor hours per visit</t>
  </si>
  <si>
    <t xml:space="preserve">Other annual cost (injection, spray, replacements)</t>
  </si>
  <si>
    <t xml:space="preserve">Annual cost</t>
  </si>
  <si>
    <t xml:space="preserve">Cost over horizon</t>
  </si>
  <si>
    <t xml:space="preserve">ONE-TIME CONVERSION COST</t>
  </si>
  <si>
    <t xml:space="preserve">Removal labor hours</t>
  </si>
  <si>
    <t xml:space="preserve">Removal labor</t>
  </si>
  <si>
    <t xml:space="preserve">Disposal / stump grinding</t>
  </si>
  <si>
    <t xml:space="preserve">Plant quantity</t>
  </si>
  <si>
    <t xml:space="preserve">Stock unit cost</t>
  </si>
  <si>
    <t xml:space="preserve">Install labor hours</t>
  </si>
  <si>
    <t xml:space="preserve">Establishment package, years 1-3 (mulch, checks, formative pruning)</t>
  </si>
  <si>
    <t xml:space="preserve">Hired watering, years 1-3 (0 if the owner waters; from Establishment Water)</t>
  </si>
  <si>
    <t xml:space="preserve">TOTAL CONVERSION COST</t>
  </si>
  <si>
    <t xml:space="preserve">CONVERTED MAINTENANCE</t>
  </si>
  <si>
    <t xml:space="preserve">Average visits per year over horizon</t>
  </si>
  <si>
    <t xml:space="preserve">RESULT</t>
  </si>
  <si>
    <t xml:space="preserve">Converted total (incl. conversion)</t>
  </si>
  <si>
    <t xml:space="preserve">Net difference vs. status quo (positive = saving)</t>
  </si>
  <si>
    <t xml:space="preserve">Annual savings after conversion</t>
  </si>
  <si>
    <t xml:space="preserve">Simple payback (years)</t>
  </si>
  <si>
    <t xml:space="preserve">REMOVE SOON ONLY — COST OF WAITING</t>
  </si>
  <si>
    <t xml:space="preserve">Emergency removal cost if deferred</t>
  </si>
  <si>
    <t xml:space="preserve">Planned removal saves</t>
  </si>
  <si>
    <t xml:space="preserve">WHAT THIS SHOWS</t>
  </si>
  <si>
    <t xml:space="preserve">HEDGES PAY BACK. Boxwood, photinia and laurel pay back inside a decade on maintenance savings alone, because repeated shearing and spray visits leave the schedule. Shearing frequency, not plant size, drives the bill.</t>
  </si>
  <si>
    <t xml:space="preserve">SINGLE TREES MOSTLY DO NOT. Bradford pear runs about 30 years. One tree does not need enough recurring work to pay for its own replacement. Do not justify it on cost.</t>
  </si>
  <si>
    <t xml:space="preserve">For trees, the cost of waiting is the reason. A planned removal is scheduled, budgeted and safe. A storm-failed pear or a brittle EAB-killed ash is an emergency, with more rigging and possible property damage.</t>
  </si>
  <si>
    <t xml:space="preserve">ASH: at about $12 per inch every 2 years, an 18 in ash costs about $108 a year to treat, so replacement does not pay back on cost. Treating a healthy, high-value ash is the cheaper choice and keeps the canopy. Replace low-value or declining ash, on timing and safety grounds. Use the Ash Register for each tree.</t>
  </si>
  <si>
    <t xml:space="preserve">Adding hired watering raises the conversion cost and lengthens the payback. Include it anyway. It is the cost of good survival.</t>
  </si>
  <si>
    <t xml:space="preserve">Install ID</t>
  </si>
  <si>
    <t xml:space="preserve">Install Date</t>
  </si>
  <si>
    <t xml:space="preserve">Owner / Address</t>
  </si>
  <si>
    <t xml:space="preserve">Soil Grp</t>
  </si>
  <si>
    <t xml:space="preserve">Legacy Plant Replaced</t>
  </si>
  <si>
    <t xml:space="preserve">Species Installed (dropdown)</t>
  </si>
  <si>
    <t xml:space="preserve">Tier (auto)</t>
  </si>
  <si>
    <t xml:space="preserve">Stock Size</t>
  </si>
  <si>
    <t xml:space="preserve">Qty Planted</t>
  </si>
  <si>
    <t xml:space="preserve">Water By</t>
  </si>
  <si>
    <t xml:space="preserve">Yr 1</t>
  </si>
  <si>
    <t xml:space="preserve">Yr 2</t>
  </si>
  <si>
    <t xml:space="preserve">Yr 3</t>
  </si>
  <si>
    <t xml:space="preserve">Yr 5</t>
  </si>
  <si>
    <t xml:space="preserve">Yr 10</t>
  </si>
  <si>
    <t xml:space="preserve">Next Score Due (auto)</t>
  </si>
  <si>
    <t xml:space="preserve">Qty Alive</t>
  </si>
  <si>
    <t xml:space="preserve">Failure Cause</t>
  </si>
  <si>
    <t xml:space="preserve">GIS Point ID</t>
  </si>
  <si>
    <t xml:space="preserve">EX-001</t>
  </si>
  <si>
    <t xml:space="preserve">EXAMPLE — 1420 Willamette St</t>
  </si>
  <si>
    <t xml:space="preserve">S</t>
  </si>
  <si>
    <t xml:space="preserve">English laurel (100 lf)</t>
  </si>
  <si>
    <t xml:space="preserve">5 gal</t>
  </si>
  <si>
    <t xml:space="preserve">Winter-wet / root rot</t>
  </si>
  <si>
    <t xml:space="preserve">Two losses at wet north end; replaced yr 2</t>
  </si>
  <si>
    <t xml:space="preserve">PT-0001</t>
  </si>
  <si>
    <t xml:space="preserve">Condition scale: 5 = vigorous, no action needed · 4 = healthy, minor issues · 3 = established but stressed (note cause) · 2 = declining, action required · 1 = failing or dead.</t>
  </si>
  <si>
    <t xml:space="preserve">One row per species per site. Enter Qty Alive = Qty Planted on install day, then update it at each visit. Next Score Due turns amber within 60 days and red when overdue.</t>
  </si>
  <si>
    <t xml:space="preserve">Delete the orange example row before use. Totals and reviews start at row 3, so the example never counts.</t>
  </si>
  <si>
    <t xml:space="preserve">Tree ID</t>
  </si>
  <si>
    <t xml:space="preserve">Date Assessed</t>
  </si>
  <si>
    <t xml:space="preserve">Canopy Dieback %</t>
  </si>
  <si>
    <t xml:space="preserve">EAB Signs (Y/N)</t>
  </si>
  <si>
    <t xml:space="preserve">Tree Value</t>
  </si>
  <si>
    <t xml:space="preserve">Site Type</t>
  </si>
  <si>
    <t xml:space="preserve">Near Target (Y/N)</t>
  </si>
  <si>
    <t xml:space="preserve">Recommendation (auto)</t>
  </si>
  <si>
    <t xml:space="preserve">Replace With (auto)</t>
  </si>
  <si>
    <t xml:space="preserve">Treat Cost per Cycle (auto)</t>
  </si>
  <si>
    <t xml:space="preserve">Treat Cost over Horizon (auto)</t>
  </si>
  <si>
    <t xml:space="preserve">Planned Remove + Replace (auto)</t>
  </si>
  <si>
    <t xml:space="preserve">Emergency Remove + Replace (auto)</t>
  </si>
  <si>
    <t xml:space="preserve">Cheaper over Horizon (auto)</t>
  </si>
  <si>
    <t xml:space="preserve">Action Taken</t>
  </si>
  <si>
    <t xml:space="preserve">Last Treated</t>
  </si>
  <si>
    <t xml:space="preserve">Next Treatment Due (auto)</t>
  </si>
  <si>
    <t xml:space="preserve">Successor Install ID</t>
  </si>
  <si>
    <t xml:space="preserve">EX-A1</t>
  </si>
  <si>
    <t xml:space="preserve">EXAMPLE — 88 Oak St</t>
  </si>
  <si>
    <t xml:space="preserve">N</t>
  </si>
  <si>
    <t xml:space="preserve">Wet</t>
  </si>
  <si>
    <t xml:space="preserve">Y</t>
  </si>
  <si>
    <t xml:space="preserve">Treated</t>
  </si>
  <si>
    <t xml:space="preserve">Street-side shade tree; owner wants to keep it</t>
  </si>
  <si>
    <t xml:space="preserve">One row per ash tree. Enter DBH, dieback (as a percent), signs, value, site and target. The recommendation, replacement and costs fill in from the rules and prices on the Ash EAB tab.</t>
  </si>
  <si>
    <t xml:space="preserve">When a tree is treated, enter the date in Last Treated. Next Treatment Due turns amber within 60 days and red when overdue.</t>
  </si>
  <si>
    <t xml:space="preserve">Delete the orange example row before use. Summaries on the Ash EAB tab start at row 3, so the example never counts.</t>
  </si>
  <si>
    <t xml:space="preserve">PROGRAM REVIEW — SURVIVAL AND DIVERSITY</t>
  </si>
  <si>
    <t xml:space="preserve">Everything here updates from the Install Log and the Palette. Nothing to type. Review it each August, before fall orders (workflow W6).</t>
  </si>
  <si>
    <t xml:space="preserve">OVERALL</t>
  </si>
  <si>
    <t xml:space="preserve">Install Log rows used</t>
  </si>
  <si>
    <t xml:space="preserve">Plants planted</t>
  </si>
  <si>
    <t xml:space="preserve">Plants with a current count</t>
  </si>
  <si>
    <t xml:space="preserve">Plants alive</t>
  </si>
  <si>
    <t xml:space="preserve">Survival rate (counted plants)</t>
  </si>
  <si>
    <t xml:space="preserve">Rows with a species not in the Palette</t>
  </si>
  <si>
    <t xml:space="preserve">Tier B share of all plants</t>
  </si>
  <si>
    <t xml:space="preserve">Tier C or Reject plants planted (should be 0)</t>
  </si>
  <si>
    <t xml:space="preserve">Rows with a score overdue</t>
  </si>
  <si>
    <t xml:space="preserve">BY SOIL GROUP</t>
  </si>
  <si>
    <t xml:space="preserve">Planted</t>
  </si>
  <si>
    <t xml:space="preserve">Counted</t>
  </si>
  <si>
    <t xml:space="preserve">Alive</t>
  </si>
  <si>
    <t xml:space="preserve">Survival</t>
  </si>
  <si>
    <t xml:space="preserve">BY TIER</t>
  </si>
  <si>
    <t xml:space="preserve">Tier A</t>
  </si>
  <si>
    <t xml:space="preserve">Tier B</t>
  </si>
  <si>
    <t xml:space="preserve">Tier C</t>
  </si>
  <si>
    <t xml:space="preserve">SPECIES, GENUS AND FAMILY — 10-20-30 RULE</t>
  </si>
  <si>
    <t xml:space="preserve">Santamour's rule: no single species above 10% of plants, genus above 20%, family above 30%. Flags count only after the minimum plant number in Start Here. This table mirrors the Palette row by row, so new species appear by themselves. Use the filter to sort by Planted.</t>
  </si>
  <si>
    <t xml:space="preserve">Species %</t>
  </si>
  <si>
    <t xml:space="preserve">Genus %</t>
  </si>
  <si>
    <t xml:space="preserve">Family %</t>
  </si>
  <si>
    <t xml:space="preserve">Flag</t>
  </si>
  <si>
    <t xml:space="preserve">STRUCTURAL RISKS TO WATCH</t>
  </si>
  <si>
    <t xml:space="preserve">Replacing an ash monoculture with an oak or rose-family monoculture solves nothing.</t>
  </si>
  <si>
    <t xml:space="preserve">REFERENCE — RULES, SOILS AND SOURCES</t>
  </si>
  <si>
    <t xml:space="preserve">TIER DEFINITIONS</t>
  </si>
  <si>
    <t xml:space="preserve">A — Proven</t>
  </si>
  <si>
    <t xml:space="preserve">Documented performance in the valley. Use freely within the correct soil group.</t>
  </si>
  <si>
    <t xml:space="preserve">B — Trial</t>
  </si>
  <si>
    <t xml:space="preserve">Sound logic, unproven locally or carrying a named risk. Cap at 10% per planting. Expect higher losses.</t>
  </si>
  <si>
    <t xml:space="preserve">C — Caution</t>
  </si>
  <si>
    <t xml:space="preserve">Underperforms the low-input standard. Use only with a clear reason.</t>
  </si>
  <si>
    <t xml:space="preserve">Do not plant. Kept in the file with the reason.</t>
  </si>
  <si>
    <t xml:space="preserve">Promotion rule</t>
  </si>
  <si>
    <t xml:space="preserve">Tier B moves to A after 3 or more installs reach year 3 with 80% or more survival. Any species with less than 70% survival is demoted. Do not count mower damage or a missed water plan.</t>
  </si>
  <si>
    <t xml:space="preserve">THE TWO-AXIS SCREEN</t>
  </si>
  <si>
    <t xml:space="preserve">Why both axes</t>
  </si>
  <si>
    <t xml:space="preserve">Most published drought lists rate summer water need only. Here the main killer is winter: roots sitting in saturated, low-oxygen soil November through April. Cistus, rosemary and manzanita all rate Very High on drought and Very Low on winter-wet. They survive August and die in February on Bashaw clay. Screening on drought alone produces plantings that fail in years 2–4.</t>
  </si>
  <si>
    <t xml:space="preserve">Rating scale</t>
  </si>
  <si>
    <t xml:space="preserve">Both axes use one 5-step scale: Very High, High, Moderate, Low, Very Low.</t>
  </si>
  <si>
    <t xml:space="preserve">WATER CLASS</t>
  </si>
  <si>
    <t xml:space="preserve">Follows the interval table in Establishment Water for years 1-3, then no routine water.</t>
  </si>
  <si>
    <t xml:space="preserve">1.5x the interval in years 1-2. No summer water from year 3 on. Summer water after year 2 is a leading cause of death for these plants. Never on shared irrigation.</t>
  </si>
  <si>
    <t xml:space="preserve">SOIL GROUPS</t>
  </si>
  <si>
    <t xml:space="preserve">Group 1 — Valley bottom clay</t>
  </si>
  <si>
    <t xml:space="preserve">Bashaw, Dayton, Natroy, Amity, Concord, Waldo. Poorly or somewhat poorly drained, perched water table Nov–Apr. Winter-wet tolerance governs; reject Mediterranean and California upland species or plant on 12–18 in berms.</t>
  </si>
  <si>
    <t xml:space="preserve">Group 2 — Alluvial silt loam</t>
  </si>
  <si>
    <t xml:space="preserve">Malabon, Coburg, Salem, Chehalis, Newberg, Cloquato. Well to moderately well drained alluvium, mostly silt loam to silty clay loam. Most permissive — nearly the full palette.</t>
  </si>
  <si>
    <t xml:space="preserve">Group 3 — Footslope / upland</t>
  </si>
  <si>
    <t xml:space="preserve">Jory, Nekia, Bellpine, Dixonville. Well drained, droughty, moderately deep (Nekia, Bellpine, Dixonville) to very deep (Jory) over bedrock. Correct home for the California and Mediterranean species; check rooting depth before large canopy trees.</t>
  </si>
  <si>
    <t xml:space="preserve">Field call</t>
  </si>
  <si>
    <t xml:space="preserve">Pull SSURGO before the visit, then verify on site — urban parcels are routinely cut, filled or scraped, and construction fill creates Group 1 conditions on a Group 2 map unit. Auger to 24–36 in, note mottling or gley. If an 18 in hole has not drained within an hour, call it Group 1 regardless of the survey.</t>
  </si>
  <si>
    <t xml:space="preserve">PALETTE SUMMARY</t>
  </si>
  <si>
    <t xml:space="preserve">Metric</t>
  </si>
  <si>
    <t xml:space="preserve">Total species</t>
  </si>
  <si>
    <t xml:space="preserve">Trees and shrubs combined</t>
  </si>
  <si>
    <t xml:space="preserve">Use freely in the right soil group</t>
  </si>
  <si>
    <t xml:space="preserve">Trial only; cap per planting in Start Here</t>
  </si>
  <si>
    <t xml:space="preserve">Tier C or Reject</t>
  </si>
  <si>
    <t xml:space="preserve">Documented exclusions</t>
  </si>
  <si>
    <t xml:space="preserve">Clear on Group 1 clay</t>
  </si>
  <si>
    <t xml:space="preserve">Hardest sites</t>
  </si>
  <si>
    <t xml:space="preserve">Clear on Group 2 silt loam</t>
  </si>
  <si>
    <t xml:space="preserve">Most permissive</t>
  </si>
  <si>
    <t xml:space="preserve">Clear on Group 3 upland</t>
  </si>
  <si>
    <t xml:space="preserve">California and Mediterranean species</t>
  </si>
  <si>
    <t xml:space="preserve">No summer water after year 2</t>
  </si>
  <si>
    <t xml:space="preserve">Hard to source (4-5)</t>
  </si>
  <si>
    <t xml:space="preserve">Order from a grower 2-3 years ahead</t>
  </si>
  <si>
    <t xml:space="preserve">Review date within 90 days</t>
  </si>
  <si>
    <t xml:space="preserve">Sort the Palette by Review By</t>
  </si>
  <si>
    <t xml:space="preserve">HOW TO USE THIS WITH EXISTING WORK</t>
  </si>
  <si>
    <t xml:space="preserve">Removals</t>
  </si>
  <si>
    <t xml:space="preserve">Plan a replacement with every removal. The equipment and access are already in place.</t>
  </si>
  <si>
    <t xml:space="preserve">Pruning of legacy plants</t>
  </si>
  <si>
    <t xml:space="preserve">Compare the 15-year cost of continued shearing with the alternative. Let the owner decide.</t>
  </si>
  <si>
    <t xml:space="preserve">Observed conditions</t>
  </si>
  <si>
    <t xml:space="preserve">Note declining birch, EAB-exposed ash and arborvitae with dead plants at each visit. No pressure to act.</t>
  </si>
  <si>
    <t xml:space="preserve">Succession plan</t>
  </si>
  <si>
    <t xml:space="preserve">Full property inventory, what fails on what horizon, and a phased 5–10 year replacement with sequencing and budget. Best for larger, commercial and public properties.</t>
  </si>
  <si>
    <t xml:space="preserve">Default is observation</t>
  </si>
  <si>
    <t xml:space="preserve">Recommend a replacement only where the plant needs it. Otherwise note it and move on. The Field Card keeps assessments consistent between people.</t>
  </si>
  <si>
    <t xml:space="preserve">Sequencing</t>
  </si>
  <si>
    <t xml:space="preserve">Observation and succession planning work today. Conversion Economics needs local shearing hours before its paybacks can be relied on.</t>
  </si>
  <si>
    <t xml:space="preserve">SOURCES AND CAVEATS</t>
  </si>
  <si>
    <t xml:space="preserve">SelecTree list 536</t>
  </si>
  <si>
    <t xml:space="preserve">Source of 13 trees. Calibrated for interior California, where summer heat is the binding constraint. It does not screen winter-saturated soil, which is why several entries rate poorly here.</t>
  </si>
  <si>
    <t xml:space="preserve">Regional additions</t>
  </si>
  <si>
    <t xml:space="preserve">Natives, conifers and the wet-clay hedges are not from list 536. Added because the source list has no answer for a Group 1 screen and almost no conifers.</t>
  </si>
  <si>
    <t xml:space="preserve">Great Plant Picks / Xera / Cistus Nursery</t>
  </si>
  <si>
    <t xml:space="preserve">Regional analogs vetted for the summer-dry, winter-wet combination. Best sources for expanding the shrub layer.</t>
  </si>
  <si>
    <t xml:space="preserve">City of Eugene</t>
  </si>
  <si>
    <t xml:space="preserve">Approved Street Tree List governs right-of-way work. Ash planting on public land is under moratorium following EAB detection in Oregon.</t>
  </si>
  <si>
    <t xml:space="preserve">Ratings</t>
  </si>
  <si>
    <t xml:space="preserve">Professional judgment for this region, based on species range, native habitat and reported regional performance. Not measured trial data. Treat as a starting point and revise from the Install Log.</t>
  </si>
  <si>
    <t xml:space="preserve">OSU Extension EM 8721</t>
  </si>
  <si>
    <t xml:space="preserve">Monnette and Hobbs, A Guide to Hedgerows (revised 2020, reviewed 2023). Source of the hedgerow design standard and of 11 wet-tolerant species. Its wet-soil list was screened for drought and invasive risk before use; six entries were rejected or limited.</t>
  </si>
  <si>
    <t xml:space="preserve">City of Eugene Ordinance 20351, Exhibit F</t>
  </si>
  <si>
    <t xml:space="preserve">Native and Non-Native Plant List. Names English laurel, sweet cherry, black locust, English ivy and English holly as invasive. Basis for the laurel considerations and two Palette rejections.</t>
  </si>
  <si>
    <t xml:space="preserve">OSU Solve Pest Problems: cherry laurel</t>
  </si>
  <si>
    <t xml:space="preserve">Describes bird-spread escape of cherry laurel into natural areas. Does not state a state noxious weed listing.</t>
  </si>
  <si>
    <t xml:space="preserve">Quarantine counties (Clackamas, Marion, Multnomah, Washington, Yamhill) and rules on ash material and hardwood firewood.</t>
  </si>
  <si>
    <t xml:space="preserve">Capital Press 2026-06-24; KPTV 2026-08-06</t>
  </si>
  <si>
    <t xml:space="preserve">2026 EAB detections, including Salem and Silverton. No Lane County detection reported.</t>
  </si>
  <si>
    <t xml:space="preserve">A.M. Leonard; Frerichs Tree Service</t>
  </si>
  <si>
    <t xml:space="preserve">EAB injection pricing (about $7-16 per inch DBH per treatment) and canopy-loss thresholds for treatment.</t>
  </si>
  <si>
    <t xml:space="preserve">Tolerance</t>
  </si>
  <si>
    <t xml:space="preserve">Site Fit</t>
  </si>
  <si>
    <t xml:space="preserve">Soil Group</t>
  </si>
  <si>
    <t xml:space="preserve">Ash Value</t>
  </si>
  <si>
    <t xml:space="preserve">Ash Site</t>
  </si>
  <si>
    <t xml:space="preserve">Y/N</t>
  </si>
  <si>
    <t xml:space="preserve">Ash Action</t>
  </si>
  <si>
    <t xml:space="preserve">Drought</t>
  </si>
  <si>
    <t xml:space="preserve">Upland</t>
  </si>
  <si>
    <t xml:space="preserve">Monitoring</t>
  </si>
  <si>
    <t xml:space="preserve">Contractor</t>
  </si>
  <si>
    <t xml:space="preserve">Medium</t>
  </si>
  <si>
    <t xml:space="preserve">Heat event</t>
  </si>
  <si>
    <t xml:space="preserve">Riparian</t>
  </si>
  <si>
    <t xml:space="preserve">Successor planted</t>
  </si>
  <si>
    <t xml:space="preserve">Deer or rodent</t>
  </si>
  <si>
    <t xml:space="preserve">Removed and replaced</t>
  </si>
  <si>
    <t xml:space="preserve">Pest or disease</t>
  </si>
  <si>
    <t xml:space="preserve">Removed only</t>
  </si>
  <si>
    <t xml:space="preserve">Mechanical (mower, trimmer)</t>
  </si>
  <si>
    <t xml:space="preserve">Owner declined</t>
  </si>
  <si>
    <t xml:space="preserve">Transplant shock</t>
  </si>
  <si>
    <t xml:space="preserve">Water plan not followed</t>
  </si>
  <si>
    <t xml:space="preserve">Unknown</t>
  </si>
</sst>
</file>

<file path=xl/styles.xml><?xml version="1.0" encoding="utf-8"?>
<styleSheet xmlns="http://schemas.openxmlformats.org/spreadsheetml/2006/main">
  <numFmts count="12">
    <numFmt numFmtId="164" formatCode="General"/>
    <numFmt numFmtId="165" formatCode="\$#,##0"/>
    <numFmt numFmtId="166" formatCode="0"/>
    <numFmt numFmtId="167" formatCode="0%"/>
    <numFmt numFmtId="168" formatCode="yyyy\-mm\-dd"/>
    <numFmt numFmtId="169" formatCode="0.0"/>
    <numFmt numFmtId="170" formatCode="0.0\x"/>
    <numFmt numFmtId="171" formatCode="#,##0"/>
    <numFmt numFmtId="172" formatCode="mmmm\ d&quot;, &quot;yyyy"/>
    <numFmt numFmtId="173" formatCode="0.00"/>
    <numFmt numFmtId="174" formatCode="0.0%"/>
    <numFmt numFmtId="175" formatCode="General"/>
  </numFmts>
  <fonts count="2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0"/>
      <color rgb="FF1F4E3D"/>
      <name val="Arial"/>
      <family val="0"/>
      <charset val="1"/>
    </font>
    <font>
      <b val="true"/>
      <sz val="9"/>
      <name val="Arial"/>
      <family val="0"/>
      <charset val="1"/>
    </font>
    <font>
      <sz val="9"/>
      <color rgb="FF0000FF"/>
      <name val="Arial"/>
      <family val="0"/>
      <charset val="1"/>
    </font>
    <font>
      <i val="true"/>
      <sz val="8"/>
      <color rgb="FF595959"/>
      <name val="Arial"/>
      <family val="0"/>
      <charset val="1"/>
    </font>
    <font>
      <sz val="9"/>
      <name val="Arial"/>
      <family val="0"/>
      <charset val="1"/>
    </font>
    <font>
      <b val="true"/>
      <sz val="12"/>
      <color rgb="FFFFFFFF"/>
      <name val="Arial"/>
      <family val="0"/>
      <charset val="1"/>
    </font>
    <font>
      <b val="true"/>
      <sz val="8"/>
      <name val="Arial"/>
      <family val="0"/>
      <charset val="1"/>
    </font>
    <font>
      <i val="true"/>
      <sz val="7"/>
      <color rgb="FF808080"/>
      <name val="Arial"/>
      <family val="0"/>
      <charset val="1"/>
    </font>
    <font>
      <b val="true"/>
      <sz val="9"/>
      <color rgb="FFFFFFFF"/>
      <name val="Arial"/>
      <family val="0"/>
      <charset val="1"/>
    </font>
    <font>
      <sz val="8"/>
      <name val="Arial"/>
      <family val="0"/>
      <charset val="1"/>
    </font>
    <font>
      <sz val="9"/>
      <color rgb="FF7F7F7F"/>
      <name val="Arial"/>
      <family val="0"/>
      <charset val="1"/>
    </font>
    <font>
      <b val="true"/>
      <sz val="12"/>
      <color rgb="FF1F4E3D"/>
      <name val="Arial"/>
      <family val="0"/>
      <charset val="1"/>
    </font>
    <font>
      <b val="true"/>
      <sz val="9"/>
      <color rgb="FFC00000"/>
      <name val="Arial"/>
      <family val="0"/>
      <charset val="1"/>
    </font>
    <font>
      <b val="true"/>
      <sz val="9"/>
      <color rgb="FF1F4E3D"/>
      <name val="Arial"/>
      <family val="0"/>
      <charset val="1"/>
    </font>
  </fonts>
  <fills count="11">
    <fill>
      <patternFill patternType="none"/>
    </fill>
    <fill>
      <patternFill patternType="gray125"/>
    </fill>
    <fill>
      <patternFill patternType="solid">
        <fgColor rgb="FF1F4E3D"/>
        <bgColor rgb="FF003366"/>
      </patternFill>
    </fill>
    <fill>
      <patternFill patternType="solid">
        <fgColor rgb="FFD9E4DD"/>
        <bgColor rgb="FFDDEBF7"/>
      </patternFill>
    </fill>
    <fill>
      <patternFill patternType="solid">
        <fgColor rgb="FFFFFF00"/>
        <bgColor rgb="FFFFFF00"/>
      </patternFill>
    </fill>
    <fill>
      <patternFill patternType="solid">
        <fgColor rgb="FFE2F0D9"/>
        <bgColor rgb="FFEDEDED"/>
      </patternFill>
    </fill>
    <fill>
      <patternFill patternType="solid">
        <fgColor rgb="FFDDEBF7"/>
        <bgColor rgb="FFEDEDED"/>
      </patternFill>
    </fill>
    <fill>
      <patternFill patternType="solid">
        <fgColor rgb="FFFCE4D6"/>
        <bgColor rgb="FFF8D7DA"/>
      </patternFill>
    </fill>
    <fill>
      <patternFill patternType="solid">
        <fgColor rgb="FFEDEDED"/>
        <bgColor rgb="FFE2F0D9"/>
      </patternFill>
    </fill>
    <fill>
      <patternFill patternType="solid">
        <fgColor rgb="FFFFF3CD"/>
        <bgColor rgb="FFFCE4D6"/>
      </patternFill>
    </fill>
    <fill>
      <patternFill patternType="solid">
        <fgColor rgb="FFF8D7DA"/>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true" applyProtection="false">
      <alignment horizontal="center" vertical="top" textRotation="0" wrapText="false" indent="0" shrinkToFit="false"/>
      <protection locked="true" hidden="false"/>
    </xf>
    <xf numFmtId="167" fontId="8" fillId="4"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fals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4" fontId="10" fillId="8"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2" fillId="3" borderId="1" xfId="0" applyFont="tru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7" fillId="9" borderId="1" xfId="0" applyFont="true" applyBorder="true" applyAlignment="true" applyProtection="false">
      <alignment horizontal="center" vertical="top" textRotation="0" wrapText="false" indent="0" shrinkToFit="false"/>
      <protection locked="true" hidden="false"/>
    </xf>
    <xf numFmtId="168" fontId="8" fillId="4" borderId="1" xfId="0" applyFont="true" applyBorder="true" applyAlignment="true" applyProtection="false">
      <alignment horizontal="center" vertical="top" textRotation="0" wrapText="false" indent="0" shrinkToFit="false"/>
      <protection locked="true" hidden="false"/>
    </xf>
    <xf numFmtId="168" fontId="10"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8" fillId="4" borderId="1" xfId="0" applyFont="true" applyBorder="true" applyAlignment="true" applyProtection="false">
      <alignment horizontal="center" vertical="top" textRotation="0" wrapText="false" indent="0" shrinkToFit="false"/>
      <protection locked="true" hidden="false"/>
    </xf>
    <xf numFmtId="170" fontId="8" fillId="4" borderId="1" xfId="0" applyFont="true" applyBorder="true" applyAlignment="true" applyProtection="false">
      <alignment horizontal="center" vertical="top" textRotation="0" wrapText="false" indent="0" shrinkToFit="false"/>
      <protection locked="true" hidden="false"/>
    </xf>
    <xf numFmtId="166" fontId="10"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10" fillId="7"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0" fillId="9" borderId="1" xfId="0" applyFont="true" applyBorder="true" applyAlignment="true" applyProtection="false">
      <alignment horizontal="center"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10" fillId="10" borderId="1" xfId="0" applyFont="true" applyBorder="true" applyAlignment="true" applyProtection="false">
      <alignment horizontal="center" vertical="top" textRotation="0" wrapText="false" indent="0" shrinkToFit="false"/>
      <protection locked="true" hidden="false"/>
    </xf>
    <xf numFmtId="164" fontId="7" fillId="7"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left" vertical="top" textRotation="0" wrapText="false" indent="0" shrinkToFit="false"/>
      <protection locked="true" hidden="false"/>
    </xf>
    <xf numFmtId="171" fontId="10"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8" fontId="8" fillId="4" borderId="1" xfId="0" applyFont="true" applyBorder="true" applyAlignment="true" applyProtection="false">
      <alignment horizontal="left" vertical="top" textRotation="0" wrapText="false" indent="0" shrinkToFit="false"/>
      <protection locked="true" hidden="false"/>
    </xf>
    <xf numFmtId="166" fontId="10" fillId="0" borderId="1" xfId="0" applyFont="true" applyBorder="true" applyAlignment="true" applyProtection="false">
      <alignment horizontal="left" vertical="top" textRotation="0" wrapText="false" indent="0" shrinkToFit="false"/>
      <protection locked="true" hidden="false"/>
    </xf>
    <xf numFmtId="172" fontId="7" fillId="0" borderId="1" xfId="0" applyFont="true" applyBorder="true" applyAlignment="true" applyProtection="false">
      <alignment horizontal="left"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4" fillId="2" borderId="1" xfId="0" applyFont="true" applyBorder="true" applyAlignment="true" applyProtection="false">
      <alignment horizontal="general" vertical="top" textRotation="0" wrapText="false" indent="0" shrinkToFit="false"/>
      <protection locked="true" hidden="false"/>
    </xf>
    <xf numFmtId="164" fontId="14" fillId="2"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73" fontId="8" fillId="4" borderId="1" xfId="0" applyFont="true" applyBorder="true" applyAlignment="true" applyProtection="false">
      <alignment horizontal="center" vertical="top" textRotation="0" wrapText="fals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4" fontId="10" fillId="7" borderId="1" xfId="0" applyFont="true" applyBorder="true" applyAlignment="true" applyProtection="false">
      <alignment horizontal="general" vertical="top" textRotation="0" wrapText="false" indent="0" shrinkToFit="false"/>
      <protection locked="true" hidden="false"/>
    </xf>
    <xf numFmtId="168" fontId="10" fillId="7" borderId="1" xfId="0" applyFont="true" applyBorder="true" applyAlignment="true" applyProtection="false">
      <alignment horizontal="general" vertical="top" textRotation="0" wrapText="fals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8" fontId="10" fillId="7" borderId="1" xfId="0" applyFont="true" applyBorder="true" applyAlignment="true" applyProtection="false">
      <alignment horizontal="center" vertical="top" textRotation="0" wrapText="false" indent="0" shrinkToFit="false"/>
      <protection locked="true" hidden="false"/>
    </xf>
    <xf numFmtId="168" fontId="10" fillId="0" borderId="1" xfId="0" applyFont="true" applyBorder="true" applyAlignment="true" applyProtection="false">
      <alignment horizontal="general" vertical="top" textRotation="0" wrapText="false" indent="0" shrinkToFit="false"/>
      <protection locked="true" hidden="false"/>
    </xf>
    <xf numFmtId="166" fontId="10" fillId="7" borderId="1" xfId="0" applyFont="true" applyBorder="true" applyAlignment="true" applyProtection="false">
      <alignment horizontal="center" vertical="top" textRotation="0" wrapText="false" indent="0" shrinkToFit="false"/>
      <protection locked="true" hidden="false"/>
    </xf>
    <xf numFmtId="167" fontId="10" fillId="7" borderId="1" xfId="0" applyFont="true" applyBorder="true" applyAlignment="true" applyProtection="false">
      <alignment horizontal="center" vertical="top" textRotation="0" wrapText="false" indent="0" shrinkToFit="false"/>
      <protection locked="true" hidden="false"/>
    </xf>
    <xf numFmtId="165" fontId="10" fillId="7" borderId="1" xfId="0" applyFont="true" applyBorder="true" applyAlignment="true" applyProtection="false">
      <alignment horizontal="center" vertical="top" textRotation="0" wrapText="false" indent="0" shrinkToFit="false"/>
      <protection locked="true" hidden="false"/>
    </xf>
    <xf numFmtId="167" fontId="10" fillId="0" borderId="1" xfId="0" applyFont="true" applyBorder="true" applyAlignment="true" applyProtection="false">
      <alignment horizontal="center" vertical="top" textRotation="0" wrapText="false" indent="0" shrinkToFit="false"/>
      <protection locked="true" hidden="false"/>
    </xf>
    <xf numFmtId="171" fontId="7" fillId="0" borderId="1" xfId="0" applyFont="true" applyBorder="true" applyAlignment="true" applyProtection="false">
      <alignment horizontal="center" vertical="top" textRotation="0" wrapText="false" indent="0" shrinkToFit="false"/>
      <protection locked="true" hidden="false"/>
    </xf>
    <xf numFmtId="174" fontId="7" fillId="0" borderId="1" xfId="0" applyFont="true" applyBorder="true" applyAlignment="true" applyProtection="false">
      <alignment horizontal="center" vertical="top" textRotation="0" wrapText="false" indent="0" shrinkToFit="false"/>
      <protection locked="true" hidden="false"/>
    </xf>
    <xf numFmtId="174" fontId="10" fillId="0" borderId="1" xfId="0" applyFont="true" applyBorder="true" applyAlignment="true" applyProtection="false">
      <alignment horizontal="center" vertical="top" textRotation="0" wrapText="false" indent="0" shrinkToFit="false"/>
      <protection locked="true" hidden="false"/>
    </xf>
    <xf numFmtId="175" fontId="7" fillId="0" borderId="1" xfId="0" applyFont="true" applyBorder="true" applyAlignment="true" applyProtection="false">
      <alignment horizontal="center" vertical="top"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F8D7DA"/>
        </patternFill>
      </fill>
    </dxf>
    <dxf>
      <fill>
        <patternFill>
          <bgColor rgb="FFFFF3CD"/>
        </patternFill>
      </fill>
    </dxf>
    <dxf>
      <fill>
        <patternFill patternType="solid">
          <fgColor rgb="FF1F4E3D"/>
          <bgColor rgb="FF000000"/>
        </patternFill>
      </fill>
    </dxf>
    <dxf>
      <fill>
        <patternFill patternType="solid">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8D7DA"/>
          <bgColor rgb="FF000000"/>
        </patternFill>
      </fill>
    </dxf>
    <dxf>
      <fill>
        <patternFill patternType="solid">
          <fgColor rgb="FFFFF3CD"/>
          <bgColor rgb="FF000000"/>
        </patternFill>
      </fill>
    </dxf>
    <dxf>
      <fill>
        <patternFill>
          <bgColor rgb="FFE2F0D9"/>
        </patternFill>
      </fill>
    </dxf>
    <dxf>
      <fill>
        <patternFill patternType="solid">
          <fgColor rgb="FFFCE4D6"/>
          <bgColor rgb="FF000000"/>
        </patternFill>
      </fill>
    </dxf>
    <dxf>
      <fill>
        <patternFill patternType="solid">
          <fgColor rgb="FFD9E4D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CD"/>
      <rgbColor rgb="FFDDEBF7"/>
      <rgbColor rgb="FF660066"/>
      <rgbColor rgb="FFFF8080"/>
      <rgbColor rgb="FF0066CC"/>
      <rgbColor rgb="FFD9E4DD"/>
      <rgbColor rgb="FF000080"/>
      <rgbColor rgb="FFFF00FF"/>
      <rgbColor rgb="FFFFFF00"/>
      <rgbColor rgb="FF00FFFF"/>
      <rgbColor rgb="FF800080"/>
      <rgbColor rgb="FF800000"/>
      <rgbColor rgb="FF008080"/>
      <rgbColor rgb="FF0000FF"/>
      <rgbColor rgb="FF00CCFF"/>
      <rgbColor rgb="FFEDEDED"/>
      <rgbColor rgb="FFE2F0D9"/>
      <rgbColor rgb="FFFCE4D6"/>
      <rgbColor rgb="FF99CCFF"/>
      <rgbColor rgb="FFFF99CC"/>
      <rgbColor rgb="FFCC99FF"/>
      <rgbColor rgb="FFF8D7DA"/>
      <rgbColor rgb="FF4472C4"/>
      <rgbColor rgb="FF33CCCC"/>
      <rgbColor rgb="FF99CC00"/>
      <rgbColor rgb="FFFFCC00"/>
      <rgbColor rgb="FFFF9900"/>
      <rgbColor rgb="FFED7D31"/>
      <rgbColor rgb="FF595959"/>
      <rgbColor rgb="FF7F7F7F"/>
      <rgbColor rgb="FF003366"/>
      <rgbColor rgb="FF70AD47"/>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C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86"/>
  </cols>
  <sheetData>
    <row r="1" customFormat="false" ht="21.75" hidden="false" customHeight="true" outlineLevel="0" collapsed="false">
      <c r="A1" s="2" t="s">
        <v>0</v>
      </c>
      <c r="B1" s="2"/>
      <c r="C1" s="2"/>
    </row>
    <row r="2" customFormat="false" ht="30" hidden="false" customHeight="true" outlineLevel="0" collapsed="false">
      <c r="A2" s="3" t="s">
        <v>1</v>
      </c>
      <c r="B2" s="3"/>
      <c r="C2" s="3"/>
    </row>
    <row r="4" customFormat="false" ht="15.75" hidden="false" customHeight="true" outlineLevel="0" collapsed="false">
      <c r="A4" s="4" t="s">
        <v>2</v>
      </c>
      <c r="B4" s="4"/>
      <c r="C4" s="4"/>
    </row>
    <row r="5" customFormat="false" ht="18" hidden="false" customHeight="true" outlineLevel="0" collapsed="false">
      <c r="A5" s="5" t="s">
        <v>3</v>
      </c>
      <c r="B5" s="5" t="s">
        <v>4</v>
      </c>
      <c r="C5" s="5" t="s">
        <v>5</v>
      </c>
    </row>
    <row r="6" customFormat="false" ht="15" hidden="false" customHeight="true" outlineLevel="0" collapsed="false">
      <c r="A6" s="6" t="s">
        <v>6</v>
      </c>
      <c r="B6" s="7" t="n">
        <v>150</v>
      </c>
      <c r="C6" s="8" t="s">
        <v>7</v>
      </c>
    </row>
    <row r="7" customFormat="false" ht="15" hidden="false" customHeight="true" outlineLevel="0" collapsed="false">
      <c r="A7" s="6" t="s">
        <v>8</v>
      </c>
      <c r="B7" s="9" t="n">
        <v>15</v>
      </c>
      <c r="C7" s="8" t="s">
        <v>9</v>
      </c>
    </row>
    <row r="8" customFormat="false" ht="15" hidden="false" customHeight="true" outlineLevel="0" collapsed="false">
      <c r="A8" s="6" t="s">
        <v>10</v>
      </c>
      <c r="B8" s="9" t="n">
        <v>122</v>
      </c>
      <c r="C8" s="8" t="s">
        <v>11</v>
      </c>
    </row>
    <row r="9" customFormat="false" ht="15" hidden="false" customHeight="true" outlineLevel="0" collapsed="false">
      <c r="A9" s="6" t="s">
        <v>12</v>
      </c>
      <c r="B9" s="10" t="n">
        <v>0.1</v>
      </c>
      <c r="C9" s="8" t="s">
        <v>13</v>
      </c>
    </row>
    <row r="10" customFormat="false" ht="15" hidden="false" customHeight="true" outlineLevel="0" collapsed="false">
      <c r="A10" s="6" t="s">
        <v>14</v>
      </c>
      <c r="B10" s="9" t="n">
        <v>30</v>
      </c>
      <c r="C10" s="8" t="s">
        <v>15</v>
      </c>
    </row>
    <row r="12" customFormat="false" ht="15.75" hidden="false" customHeight="true" outlineLevel="0" collapsed="false">
      <c r="A12" s="4" t="s">
        <v>16</v>
      </c>
      <c r="B12" s="4"/>
      <c r="C12" s="4"/>
    </row>
    <row r="13" customFormat="false" ht="18" hidden="false" customHeight="true" outlineLevel="0" collapsed="false">
      <c r="A13" s="5" t="s">
        <v>17</v>
      </c>
      <c r="B13" s="5" t="s">
        <v>18</v>
      </c>
      <c r="C13" s="5" t="s">
        <v>19</v>
      </c>
    </row>
    <row r="14" customFormat="false" ht="15" hidden="false" customHeight="true" outlineLevel="0" collapsed="false">
      <c r="A14" s="6" t="s">
        <v>20</v>
      </c>
      <c r="B14" s="11" t="s">
        <v>21</v>
      </c>
      <c r="C14" s="12" t="s">
        <v>22</v>
      </c>
    </row>
    <row r="15" customFormat="false" ht="15" hidden="false" customHeight="true" outlineLevel="0" collapsed="false">
      <c r="A15" s="6" t="s">
        <v>23</v>
      </c>
      <c r="B15" s="13" t="s">
        <v>24</v>
      </c>
      <c r="C15" s="12" t="s">
        <v>25</v>
      </c>
    </row>
    <row r="16" customFormat="false" ht="15" hidden="false" customHeight="true" outlineLevel="0" collapsed="false">
      <c r="A16" s="6" t="s">
        <v>26</v>
      </c>
      <c r="B16" s="13" t="s">
        <v>24</v>
      </c>
      <c r="C16" s="12" t="s">
        <v>27</v>
      </c>
    </row>
    <row r="17" customFormat="false" ht="15" hidden="false" customHeight="true" outlineLevel="0" collapsed="false">
      <c r="A17" s="6" t="s">
        <v>28</v>
      </c>
      <c r="B17" s="13" t="s">
        <v>24</v>
      </c>
      <c r="C17" s="12" t="s">
        <v>29</v>
      </c>
    </row>
    <row r="18" customFormat="false" ht="15" hidden="false" customHeight="true" outlineLevel="0" collapsed="false">
      <c r="A18" s="6" t="s">
        <v>30</v>
      </c>
      <c r="B18" s="13" t="s">
        <v>24</v>
      </c>
      <c r="C18" s="12" t="s">
        <v>31</v>
      </c>
    </row>
    <row r="19" customFormat="false" ht="15" hidden="false" customHeight="true" outlineLevel="0" collapsed="false">
      <c r="A19" s="6" t="s">
        <v>32</v>
      </c>
      <c r="B19" s="13" t="s">
        <v>24</v>
      </c>
      <c r="C19" s="12" t="s">
        <v>33</v>
      </c>
    </row>
    <row r="20" customFormat="false" ht="15" hidden="false" customHeight="true" outlineLevel="0" collapsed="false">
      <c r="A20" s="6" t="s">
        <v>34</v>
      </c>
      <c r="B20" s="13" t="s">
        <v>24</v>
      </c>
      <c r="C20" s="12" t="s">
        <v>35</v>
      </c>
    </row>
    <row r="21" customFormat="false" ht="15" hidden="false" customHeight="true" outlineLevel="0" collapsed="false">
      <c r="A21" s="6" t="s">
        <v>36</v>
      </c>
      <c r="B21" s="13" t="s">
        <v>24</v>
      </c>
      <c r="C21" s="12" t="s">
        <v>37</v>
      </c>
    </row>
    <row r="22" customFormat="false" ht="15" hidden="false" customHeight="true" outlineLevel="0" collapsed="false">
      <c r="A22" s="6" t="s">
        <v>38</v>
      </c>
      <c r="B22" s="14" t="s">
        <v>39</v>
      </c>
      <c r="C22" s="12" t="s">
        <v>40</v>
      </c>
    </row>
    <row r="23" customFormat="false" ht="15" hidden="false" customHeight="true" outlineLevel="0" collapsed="false">
      <c r="A23" s="6" t="s">
        <v>41</v>
      </c>
      <c r="B23" s="14" t="s">
        <v>39</v>
      </c>
      <c r="C23" s="12" t="s">
        <v>42</v>
      </c>
    </row>
    <row r="24" customFormat="false" ht="15" hidden="false" customHeight="true" outlineLevel="0" collapsed="false">
      <c r="A24" s="6" t="s">
        <v>43</v>
      </c>
      <c r="B24" s="14" t="s">
        <v>39</v>
      </c>
      <c r="C24" s="12" t="s">
        <v>44</v>
      </c>
    </row>
    <row r="25" customFormat="false" ht="15" hidden="false" customHeight="true" outlineLevel="0" collapsed="false">
      <c r="A25" s="6" t="s">
        <v>45</v>
      </c>
      <c r="B25" s="15" t="s">
        <v>45</v>
      </c>
      <c r="C25" s="12" t="s">
        <v>46</v>
      </c>
    </row>
    <row r="27" customFormat="false" ht="15.75" hidden="false" customHeight="true" outlineLevel="0" collapsed="false">
      <c r="A27" s="4" t="s">
        <v>47</v>
      </c>
      <c r="B27" s="4"/>
      <c r="C27" s="4"/>
    </row>
    <row r="28" customFormat="false" ht="15" hidden="false" customHeight="true" outlineLevel="0" collapsed="false">
      <c r="A28" s="16" t="s">
        <v>48</v>
      </c>
      <c r="B28" s="17" t="s">
        <v>49</v>
      </c>
      <c r="C28" s="17"/>
    </row>
    <row r="29" customFormat="false" ht="15" hidden="false" customHeight="true" outlineLevel="0" collapsed="false">
      <c r="A29" s="16" t="s">
        <v>50</v>
      </c>
      <c r="B29" s="17" t="s">
        <v>51</v>
      </c>
      <c r="C29" s="17"/>
    </row>
    <row r="30" customFormat="false" ht="25.5" hidden="false" customHeight="true" outlineLevel="0" collapsed="false">
      <c r="A30" s="16" t="s">
        <v>52</v>
      </c>
      <c r="B30" s="17" t="s">
        <v>53</v>
      </c>
      <c r="C30" s="17"/>
    </row>
    <row r="31" customFormat="false" ht="15" hidden="false" customHeight="true" outlineLevel="0" collapsed="false">
      <c r="A31" s="16" t="s">
        <v>54</v>
      </c>
      <c r="B31" s="17" t="s">
        <v>55</v>
      </c>
      <c r="C31" s="17"/>
    </row>
    <row r="32" customFormat="false" ht="15" hidden="false" customHeight="true" outlineLevel="0" collapsed="false">
      <c r="A32" s="16" t="s">
        <v>56</v>
      </c>
      <c r="B32" s="17" t="s">
        <v>57</v>
      </c>
      <c r="C32" s="17"/>
    </row>
    <row r="33" customFormat="false" ht="15" hidden="false" customHeight="true" outlineLevel="0" collapsed="false">
      <c r="A33" s="16"/>
      <c r="B33" s="18" t="s">
        <v>58</v>
      </c>
      <c r="C33" s="18"/>
    </row>
    <row r="35" customFormat="false" ht="15.75" hidden="false" customHeight="true" outlineLevel="0" collapsed="false">
      <c r="A35" s="4" t="s">
        <v>59</v>
      </c>
      <c r="B35" s="4"/>
      <c r="C35" s="4"/>
    </row>
    <row r="36" customFormat="false" ht="15" hidden="false" customHeight="true" outlineLevel="0" collapsed="false">
      <c r="A36" s="16" t="s">
        <v>48</v>
      </c>
      <c r="B36" s="17" t="s">
        <v>60</v>
      </c>
      <c r="C36" s="17"/>
    </row>
    <row r="37" customFormat="false" ht="15" hidden="false" customHeight="true" outlineLevel="0" collapsed="false">
      <c r="A37" s="16" t="s">
        <v>50</v>
      </c>
      <c r="B37" s="17" t="s">
        <v>61</v>
      </c>
      <c r="C37" s="17"/>
    </row>
    <row r="38" customFormat="false" ht="15" hidden="false" customHeight="true" outlineLevel="0" collapsed="false">
      <c r="A38" s="16" t="s">
        <v>52</v>
      </c>
      <c r="B38" s="17" t="s">
        <v>62</v>
      </c>
      <c r="C38" s="17"/>
    </row>
    <row r="40" customFormat="false" ht="15.75" hidden="false" customHeight="true" outlineLevel="0" collapsed="false">
      <c r="A40" s="4" t="s">
        <v>63</v>
      </c>
      <c r="B40" s="4"/>
      <c r="C40" s="4"/>
    </row>
    <row r="41" customFormat="false" ht="15" hidden="false" customHeight="true" outlineLevel="0" collapsed="false">
      <c r="A41" s="16" t="s">
        <v>48</v>
      </c>
      <c r="B41" s="17" t="s">
        <v>64</v>
      </c>
      <c r="C41" s="17"/>
    </row>
    <row r="42" customFormat="false" ht="25.5" hidden="false" customHeight="true" outlineLevel="0" collapsed="false">
      <c r="A42" s="16" t="s">
        <v>50</v>
      </c>
      <c r="B42" s="17" t="s">
        <v>65</v>
      </c>
      <c r="C42" s="17"/>
    </row>
    <row r="43" customFormat="false" ht="25.5" hidden="false" customHeight="true" outlineLevel="0" collapsed="false">
      <c r="A43" s="16" t="s">
        <v>52</v>
      </c>
      <c r="B43" s="17" t="s">
        <v>66</v>
      </c>
      <c r="C43" s="17"/>
    </row>
    <row r="44" customFormat="false" ht="25.5" hidden="false" customHeight="true" outlineLevel="0" collapsed="false">
      <c r="A44" s="16" t="s">
        <v>54</v>
      </c>
      <c r="B44" s="17" t="s">
        <v>67</v>
      </c>
      <c r="C44" s="17"/>
    </row>
    <row r="45" customFormat="false" ht="25.5" hidden="false" customHeight="true" outlineLevel="0" collapsed="false">
      <c r="A45" s="16" t="s">
        <v>56</v>
      </c>
      <c r="B45" s="17" t="s">
        <v>68</v>
      </c>
      <c r="C45" s="17"/>
    </row>
    <row r="46" customFormat="false" ht="25.5" hidden="false" customHeight="true" outlineLevel="0" collapsed="false">
      <c r="A46" s="16" t="s">
        <v>69</v>
      </c>
      <c r="B46" s="17" t="s">
        <v>70</v>
      </c>
      <c r="C46" s="17"/>
    </row>
    <row r="47" customFormat="false" ht="15" hidden="false" customHeight="true" outlineLevel="0" collapsed="false">
      <c r="A47" s="16" t="s">
        <v>71</v>
      </c>
      <c r="B47" s="17" t="s">
        <v>72</v>
      </c>
      <c r="C47" s="17"/>
    </row>
    <row r="49" customFormat="false" ht="15.75" hidden="false" customHeight="true" outlineLevel="0" collapsed="false">
      <c r="A49" s="4" t="s">
        <v>73</v>
      </c>
      <c r="B49" s="4"/>
      <c r="C49" s="4"/>
    </row>
    <row r="50" customFormat="false" ht="15" hidden="false" customHeight="true" outlineLevel="0" collapsed="false">
      <c r="A50" s="16" t="s">
        <v>48</v>
      </c>
      <c r="B50" s="17" t="s">
        <v>74</v>
      </c>
      <c r="C50" s="17"/>
    </row>
    <row r="51" customFormat="false" ht="15" hidden="false" customHeight="true" outlineLevel="0" collapsed="false">
      <c r="A51" s="16" t="s">
        <v>50</v>
      </c>
      <c r="B51" s="17" t="s">
        <v>75</v>
      </c>
      <c r="C51" s="17"/>
    </row>
    <row r="52" customFormat="false" ht="15" hidden="false" customHeight="true" outlineLevel="0" collapsed="false">
      <c r="A52" s="16" t="s">
        <v>52</v>
      </c>
      <c r="B52" s="17" t="s">
        <v>76</v>
      </c>
      <c r="C52" s="17"/>
    </row>
    <row r="53" customFormat="false" ht="25.5" hidden="false" customHeight="true" outlineLevel="0" collapsed="false">
      <c r="A53" s="16" t="s">
        <v>54</v>
      </c>
      <c r="B53" s="17" t="s">
        <v>77</v>
      </c>
      <c r="C53" s="17"/>
    </row>
    <row r="54" customFormat="false" ht="15" hidden="false" customHeight="true" outlineLevel="0" collapsed="false">
      <c r="A54" s="16" t="s">
        <v>56</v>
      </c>
      <c r="B54" s="17" t="s">
        <v>78</v>
      </c>
      <c r="C54" s="17"/>
    </row>
    <row r="55" customFormat="false" ht="15" hidden="false" customHeight="true" outlineLevel="0" collapsed="false">
      <c r="A55" s="16" t="s">
        <v>69</v>
      </c>
      <c r="B55" s="17" t="s">
        <v>79</v>
      </c>
      <c r="C55" s="17"/>
    </row>
    <row r="57" customFormat="false" ht="15.75" hidden="false" customHeight="true" outlineLevel="0" collapsed="false">
      <c r="A57" s="4" t="s">
        <v>80</v>
      </c>
      <c r="B57" s="4"/>
      <c r="C57" s="4"/>
    </row>
    <row r="58" customFormat="false" ht="15" hidden="false" customHeight="true" outlineLevel="0" collapsed="false">
      <c r="A58" s="16" t="s">
        <v>48</v>
      </c>
      <c r="B58" s="17" t="s">
        <v>81</v>
      </c>
      <c r="C58" s="17"/>
    </row>
    <row r="59" customFormat="false" ht="15" hidden="false" customHeight="true" outlineLevel="0" collapsed="false">
      <c r="A59" s="16" t="s">
        <v>50</v>
      </c>
      <c r="B59" s="17" t="s">
        <v>82</v>
      </c>
      <c r="C59" s="17"/>
    </row>
    <row r="60" customFormat="false" ht="25.5" hidden="false" customHeight="true" outlineLevel="0" collapsed="false">
      <c r="A60" s="16" t="s">
        <v>52</v>
      </c>
      <c r="B60" s="17" t="s">
        <v>83</v>
      </c>
      <c r="C60" s="17"/>
    </row>
    <row r="61" customFormat="false" ht="15" hidden="false" customHeight="true" outlineLevel="0" collapsed="false">
      <c r="A61" s="16" t="s">
        <v>54</v>
      </c>
      <c r="B61" s="17" t="s">
        <v>84</v>
      </c>
      <c r="C61" s="17"/>
    </row>
    <row r="63" customFormat="false" ht="15.75" hidden="false" customHeight="true" outlineLevel="0" collapsed="false">
      <c r="A63" s="4" t="s">
        <v>85</v>
      </c>
      <c r="B63" s="4"/>
      <c r="C63" s="4"/>
    </row>
    <row r="64" customFormat="false" ht="15" hidden="false" customHeight="true" outlineLevel="0" collapsed="false">
      <c r="A64" s="16" t="s">
        <v>48</v>
      </c>
      <c r="B64" s="17" t="s">
        <v>86</v>
      </c>
      <c r="C64" s="17"/>
    </row>
    <row r="65" customFormat="false" ht="15" hidden="false" customHeight="true" outlineLevel="0" collapsed="false">
      <c r="A65" s="16" t="s">
        <v>50</v>
      </c>
      <c r="B65" s="17" t="s">
        <v>87</v>
      </c>
      <c r="C65" s="17"/>
    </row>
    <row r="66" customFormat="false" ht="25.5" hidden="false" customHeight="true" outlineLevel="0" collapsed="false">
      <c r="A66" s="16" t="s">
        <v>52</v>
      </c>
      <c r="B66" s="17" t="s">
        <v>88</v>
      </c>
      <c r="C66" s="17"/>
    </row>
    <row r="67" customFormat="false" ht="25.5" hidden="false" customHeight="true" outlineLevel="0" collapsed="false">
      <c r="A67" s="16" t="s">
        <v>54</v>
      </c>
      <c r="B67" s="17" t="s">
        <v>89</v>
      </c>
      <c r="C67" s="17"/>
    </row>
    <row r="68" customFormat="false" ht="15" hidden="false" customHeight="true" outlineLevel="0" collapsed="false">
      <c r="A68" s="16" t="s">
        <v>56</v>
      </c>
      <c r="B68" s="17" t="s">
        <v>90</v>
      </c>
      <c r="C68" s="17"/>
    </row>
    <row r="69" customFormat="false" ht="15" hidden="false" customHeight="true" outlineLevel="0" collapsed="false">
      <c r="A69" s="16" t="s">
        <v>69</v>
      </c>
      <c r="B69" s="17" t="s">
        <v>91</v>
      </c>
      <c r="C69" s="17"/>
    </row>
    <row r="71" customFormat="false" ht="15.75" hidden="false" customHeight="true" outlineLevel="0" collapsed="false">
      <c r="A71" s="4" t="s">
        <v>92</v>
      </c>
      <c r="B71" s="4"/>
      <c r="C71" s="4"/>
    </row>
    <row r="72" customFormat="false" ht="25.5" hidden="false" customHeight="true" outlineLevel="0" collapsed="false">
      <c r="A72" s="16" t="s">
        <v>48</v>
      </c>
      <c r="B72" s="17" t="s">
        <v>93</v>
      </c>
      <c r="C72" s="17"/>
    </row>
    <row r="73" customFormat="false" ht="25.5" hidden="false" customHeight="true" outlineLevel="0" collapsed="false">
      <c r="A73" s="16" t="s">
        <v>50</v>
      </c>
      <c r="B73" s="17" t="s">
        <v>94</v>
      </c>
      <c r="C73" s="17"/>
    </row>
    <row r="74" customFormat="false" ht="15" hidden="false" customHeight="true" outlineLevel="0" collapsed="false">
      <c r="A74" s="16" t="s">
        <v>52</v>
      </c>
      <c r="B74" s="17" t="s">
        <v>95</v>
      </c>
      <c r="C74" s="17"/>
    </row>
    <row r="75" customFormat="false" ht="25.5" hidden="false" customHeight="true" outlineLevel="0" collapsed="false">
      <c r="A75" s="16" t="s">
        <v>54</v>
      </c>
      <c r="B75" s="17" t="s">
        <v>96</v>
      </c>
      <c r="C75" s="17"/>
    </row>
    <row r="77" customFormat="false" ht="15.75" hidden="false" customHeight="true" outlineLevel="0" collapsed="false">
      <c r="A77" s="4" t="s">
        <v>97</v>
      </c>
      <c r="B77" s="4"/>
      <c r="C77" s="4"/>
    </row>
    <row r="78" customFormat="false" ht="25.5" hidden="false" customHeight="true" outlineLevel="0" collapsed="false">
      <c r="A78" s="16" t="s">
        <v>48</v>
      </c>
      <c r="B78" s="17" t="s">
        <v>98</v>
      </c>
      <c r="C78" s="17"/>
    </row>
    <row r="79" customFormat="false" ht="15" hidden="false" customHeight="true" outlineLevel="0" collapsed="false">
      <c r="A79" s="16" t="s">
        <v>50</v>
      </c>
      <c r="B79" s="17" t="s">
        <v>99</v>
      </c>
      <c r="C79" s="17"/>
    </row>
    <row r="80" customFormat="false" ht="25.5" hidden="false" customHeight="true" outlineLevel="0" collapsed="false">
      <c r="A80" s="16" t="s">
        <v>52</v>
      </c>
      <c r="B80" s="17" t="s">
        <v>100</v>
      </c>
      <c r="C80" s="17"/>
    </row>
    <row r="81" customFormat="false" ht="15" hidden="false" customHeight="true" outlineLevel="0" collapsed="false">
      <c r="A81" s="16" t="s">
        <v>54</v>
      </c>
      <c r="B81" s="17" t="s">
        <v>101</v>
      </c>
      <c r="C81" s="17"/>
    </row>
    <row r="82" customFormat="false" ht="25.5" hidden="false" customHeight="true" outlineLevel="0" collapsed="false">
      <c r="A82" s="16" t="s">
        <v>56</v>
      </c>
      <c r="B82" s="17" t="s">
        <v>102</v>
      </c>
      <c r="C82" s="17"/>
    </row>
    <row r="83" customFormat="false" ht="25.5" hidden="false" customHeight="true" outlineLevel="0" collapsed="false">
      <c r="A83" s="16" t="s">
        <v>69</v>
      </c>
      <c r="B83" s="17" t="s">
        <v>103</v>
      </c>
      <c r="C83" s="17"/>
    </row>
    <row r="84" customFormat="false" ht="15" hidden="false" customHeight="true" outlineLevel="0" collapsed="false">
      <c r="A84" s="16" t="s">
        <v>71</v>
      </c>
      <c r="B84" s="17" t="s">
        <v>104</v>
      </c>
      <c r="C84" s="17"/>
    </row>
    <row r="86" customFormat="false" ht="15.75" hidden="false" customHeight="true" outlineLevel="0" collapsed="false">
      <c r="A86" s="4" t="s">
        <v>105</v>
      </c>
      <c r="B86" s="4"/>
      <c r="C86" s="4"/>
    </row>
    <row r="87" customFormat="false" ht="25.5" hidden="false" customHeight="true" outlineLevel="0" collapsed="false">
      <c r="A87" s="19" t="s">
        <v>106</v>
      </c>
      <c r="B87" s="17" t="s">
        <v>107</v>
      </c>
      <c r="C87" s="17"/>
    </row>
    <row r="88" customFormat="false" ht="25.5" hidden="false" customHeight="true" outlineLevel="0" collapsed="false">
      <c r="A88" s="19" t="s">
        <v>108</v>
      </c>
      <c r="B88" s="17" t="s">
        <v>109</v>
      </c>
      <c r="C88" s="17"/>
    </row>
    <row r="89" customFormat="false" ht="25.5" hidden="false" customHeight="true" outlineLevel="0" collapsed="false">
      <c r="A89" s="19" t="s">
        <v>110</v>
      </c>
      <c r="B89" s="17" t="s">
        <v>111</v>
      </c>
      <c r="C89" s="17"/>
    </row>
    <row r="90" customFormat="false" ht="25.5" hidden="false" customHeight="true" outlineLevel="0" collapsed="false">
      <c r="A90" s="19" t="s">
        <v>112</v>
      </c>
      <c r="B90" s="17" t="s">
        <v>113</v>
      </c>
      <c r="C90" s="17"/>
    </row>
    <row r="91" customFormat="false" ht="25.5" hidden="false" customHeight="true" outlineLevel="0" collapsed="false">
      <c r="A91" s="16" t="s">
        <v>114</v>
      </c>
      <c r="B91" s="17" t="s">
        <v>115</v>
      </c>
      <c r="C91" s="17"/>
    </row>
    <row r="93" customFormat="false" ht="15.75" hidden="false" customHeight="true" outlineLevel="0" collapsed="false">
      <c r="A93" s="4" t="s">
        <v>116</v>
      </c>
      <c r="B93" s="4"/>
      <c r="C93" s="4"/>
    </row>
    <row r="94" customFormat="false" ht="15" hidden="false" customHeight="true" outlineLevel="0" collapsed="false">
      <c r="A94" s="19" t="s">
        <v>117</v>
      </c>
      <c r="B94" s="17" t="s">
        <v>118</v>
      </c>
      <c r="C94" s="17"/>
    </row>
    <row r="95" customFormat="false" ht="15" hidden="false" customHeight="true" outlineLevel="0" collapsed="false">
      <c r="A95" s="19" t="s">
        <v>119</v>
      </c>
      <c r="B95" s="17" t="s">
        <v>120</v>
      </c>
      <c r="C95" s="17"/>
    </row>
    <row r="96" customFormat="false" ht="15" hidden="false" customHeight="true" outlineLevel="0" collapsed="false">
      <c r="A96" s="19" t="s">
        <v>121</v>
      </c>
      <c r="B96" s="17" t="s">
        <v>122</v>
      </c>
      <c r="C96" s="17"/>
    </row>
    <row r="97" customFormat="false" ht="15" hidden="false" customHeight="true" outlineLevel="0" collapsed="false">
      <c r="A97" s="19" t="s">
        <v>123</v>
      </c>
      <c r="B97" s="17" t="s">
        <v>124</v>
      </c>
      <c r="C97" s="17"/>
    </row>
  </sheetData>
  <mergeCells count="66">
    <mergeCell ref="A1:C1"/>
    <mergeCell ref="A2:C2"/>
    <mergeCell ref="A4:C4"/>
    <mergeCell ref="A12:C12"/>
    <mergeCell ref="A27:C27"/>
    <mergeCell ref="B28:C28"/>
    <mergeCell ref="B29:C29"/>
    <mergeCell ref="B30:C30"/>
    <mergeCell ref="B31:C31"/>
    <mergeCell ref="B32:C32"/>
    <mergeCell ref="B33:C33"/>
    <mergeCell ref="A35:C35"/>
    <mergeCell ref="B36:C36"/>
    <mergeCell ref="B37:C37"/>
    <mergeCell ref="B38:C38"/>
    <mergeCell ref="A40:C40"/>
    <mergeCell ref="B41:C41"/>
    <mergeCell ref="B42:C42"/>
    <mergeCell ref="B43:C43"/>
    <mergeCell ref="B44:C44"/>
    <mergeCell ref="B45:C45"/>
    <mergeCell ref="B46:C46"/>
    <mergeCell ref="B47:C47"/>
    <mergeCell ref="A49:C49"/>
    <mergeCell ref="B50:C50"/>
    <mergeCell ref="B51:C51"/>
    <mergeCell ref="B52:C52"/>
    <mergeCell ref="B53:C53"/>
    <mergeCell ref="B54:C54"/>
    <mergeCell ref="B55:C55"/>
    <mergeCell ref="A57:C57"/>
    <mergeCell ref="B58:C58"/>
    <mergeCell ref="B59:C59"/>
    <mergeCell ref="B60:C60"/>
    <mergeCell ref="B61:C61"/>
    <mergeCell ref="A63:C63"/>
    <mergeCell ref="B64:C64"/>
    <mergeCell ref="B65:C65"/>
    <mergeCell ref="B66:C66"/>
    <mergeCell ref="B67:C67"/>
    <mergeCell ref="B68:C68"/>
    <mergeCell ref="B69:C69"/>
    <mergeCell ref="A71:C71"/>
    <mergeCell ref="B72:C72"/>
    <mergeCell ref="B73:C73"/>
    <mergeCell ref="B74:C74"/>
    <mergeCell ref="B75:C75"/>
    <mergeCell ref="A77:C77"/>
    <mergeCell ref="B78:C78"/>
    <mergeCell ref="B79:C79"/>
    <mergeCell ref="B80:C80"/>
    <mergeCell ref="B81:C81"/>
    <mergeCell ref="B82:C82"/>
    <mergeCell ref="B83:C83"/>
    <mergeCell ref="B84:C84"/>
    <mergeCell ref="A86:C86"/>
    <mergeCell ref="B87:C87"/>
    <mergeCell ref="B88:C88"/>
    <mergeCell ref="B89:C89"/>
    <mergeCell ref="B90:C90"/>
    <mergeCell ref="B91:C91"/>
    <mergeCell ref="A93:C93"/>
    <mergeCell ref="B94:C94"/>
    <mergeCell ref="B95:C95"/>
    <mergeCell ref="B96:C96"/>
    <mergeCell ref="B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22"/>
    <col collapsed="false" customWidth="true" hidden="false" outlineLevel="0" max="3" min="3" style="1" width="23"/>
    <col collapsed="false" customWidth="true" hidden="false" outlineLevel="0" max="4" min="4" style="1" width="21"/>
  </cols>
  <sheetData>
    <row r="1" customFormat="false" ht="21.75" hidden="false" customHeight="true" outlineLevel="0" collapsed="false">
      <c r="A1" s="20" t="s">
        <v>125</v>
      </c>
      <c r="B1" s="20"/>
      <c r="C1" s="20"/>
      <c r="D1" s="20"/>
    </row>
    <row r="2" customFormat="false" ht="13.5" hidden="false" customHeight="true" outlineLevel="0" collapsed="false">
      <c r="A2" s="3" t="s">
        <v>126</v>
      </c>
      <c r="B2" s="3"/>
      <c r="C2" s="3"/>
      <c r="D2" s="3"/>
    </row>
    <row r="3" customFormat="false" ht="16.5" hidden="false" customHeight="true" outlineLevel="0" collapsed="false">
      <c r="A3" s="21" t="s">
        <v>127</v>
      </c>
      <c r="B3" s="22"/>
      <c r="C3" s="21" t="s">
        <v>128</v>
      </c>
      <c r="D3" s="22"/>
    </row>
    <row r="4" customFormat="false" ht="16.5" hidden="false" customHeight="true" outlineLevel="0" collapsed="false">
      <c r="A4" s="21" t="s">
        <v>129</v>
      </c>
      <c r="B4" s="22"/>
      <c r="C4" s="21" t="s">
        <v>130</v>
      </c>
      <c r="D4" s="22"/>
    </row>
    <row r="5" customFormat="false" ht="15.75" hidden="false" customHeight="true" outlineLevel="0" collapsed="false">
      <c r="A5" s="4" t="s">
        <v>131</v>
      </c>
      <c r="B5" s="4"/>
      <c r="C5" s="4"/>
      <c r="D5" s="4"/>
    </row>
    <row r="6" customFormat="false" ht="24" hidden="false" customHeight="true" outlineLevel="0" collapsed="false">
      <c r="A6" s="21" t="s">
        <v>132</v>
      </c>
      <c r="B6" s="22" t="s">
        <v>133</v>
      </c>
      <c r="C6" s="21" t="s">
        <v>134</v>
      </c>
      <c r="D6" s="22" t="s">
        <v>135</v>
      </c>
    </row>
    <row r="7" customFormat="false" ht="16.5" hidden="false" customHeight="true" outlineLevel="0" collapsed="false">
      <c r="A7" s="21" t="s">
        <v>136</v>
      </c>
      <c r="B7" s="22" t="s">
        <v>137</v>
      </c>
      <c r="C7" s="21" t="s">
        <v>138</v>
      </c>
      <c r="D7" s="22" t="s">
        <v>139</v>
      </c>
    </row>
    <row r="8" customFormat="false" ht="15.75" hidden="false" customHeight="true" outlineLevel="0" collapsed="false">
      <c r="A8" s="4" t="s">
        <v>140</v>
      </c>
      <c r="B8" s="4"/>
      <c r="C8" s="4"/>
      <c r="D8" s="4"/>
    </row>
    <row r="9" customFormat="false" ht="16.5" hidden="false" customHeight="true" outlineLevel="0" collapsed="false">
      <c r="A9" s="21" t="s">
        <v>141</v>
      </c>
      <c r="B9" s="22" t="s">
        <v>142</v>
      </c>
      <c r="C9" s="21" t="s">
        <v>143</v>
      </c>
      <c r="D9" s="22" t="s">
        <v>144</v>
      </c>
    </row>
    <row r="10" customFormat="false" ht="16.5" hidden="false" customHeight="true" outlineLevel="0" collapsed="false">
      <c r="A10" s="21" t="s">
        <v>145</v>
      </c>
      <c r="B10" s="22" t="s">
        <v>146</v>
      </c>
      <c r="C10" s="21" t="s">
        <v>147</v>
      </c>
      <c r="D10" s="22" t="s">
        <v>148</v>
      </c>
    </row>
    <row r="11" customFormat="false" ht="16.5" hidden="false" customHeight="true" outlineLevel="0" collapsed="false">
      <c r="A11" s="21" t="s">
        <v>149</v>
      </c>
      <c r="B11" s="22" t="s">
        <v>150</v>
      </c>
      <c r="C11" s="21" t="s">
        <v>151</v>
      </c>
      <c r="D11" s="22" t="s">
        <v>152</v>
      </c>
    </row>
    <row r="12" customFormat="false" ht="15.75" hidden="false" customHeight="true" outlineLevel="0" collapsed="false">
      <c r="A12" s="4" t="s">
        <v>153</v>
      </c>
      <c r="B12" s="4"/>
      <c r="C12" s="4"/>
      <c r="D12" s="4"/>
    </row>
    <row r="13" customFormat="false" ht="16.5" hidden="false" customHeight="true" outlineLevel="0" collapsed="false">
      <c r="A13" s="21" t="s">
        <v>154</v>
      </c>
      <c r="B13" s="22"/>
      <c r="C13" s="21" t="s">
        <v>155</v>
      </c>
      <c r="D13" s="22" t="s">
        <v>156</v>
      </c>
    </row>
    <row r="14" customFormat="false" ht="21.75" hidden="false" customHeight="true" outlineLevel="0" collapsed="false">
      <c r="A14" s="21" t="s">
        <v>157</v>
      </c>
      <c r="B14" s="22" t="s">
        <v>158</v>
      </c>
      <c r="C14" s="21" t="s">
        <v>159</v>
      </c>
      <c r="D14" s="22" t="s">
        <v>160</v>
      </c>
    </row>
    <row r="15" customFormat="false" ht="16.5" hidden="false" customHeight="true" outlineLevel="0" collapsed="false">
      <c r="A15" s="21" t="s">
        <v>161</v>
      </c>
      <c r="B15" s="22" t="s">
        <v>162</v>
      </c>
      <c r="C15" s="21" t="s">
        <v>163</v>
      </c>
      <c r="D15" s="22" t="s">
        <v>164</v>
      </c>
    </row>
    <row r="16" customFormat="false" ht="15.75" hidden="false" customHeight="true" outlineLevel="0" collapsed="false">
      <c r="A16" s="4" t="s">
        <v>165</v>
      </c>
      <c r="B16" s="4"/>
      <c r="C16" s="4"/>
      <c r="D16" s="4"/>
    </row>
    <row r="17" customFormat="false" ht="18.75" hidden="false" customHeight="true" outlineLevel="0" collapsed="false">
      <c r="A17" s="21" t="s">
        <v>166</v>
      </c>
      <c r="B17" s="22" t="s">
        <v>167</v>
      </c>
      <c r="C17" s="22"/>
      <c r="D17" s="22"/>
    </row>
    <row r="18" customFormat="false" ht="16.5" hidden="false" customHeight="true" outlineLevel="0" collapsed="false">
      <c r="A18" s="21" t="s">
        <v>168</v>
      </c>
      <c r="B18" s="22" t="s">
        <v>169</v>
      </c>
      <c r="C18" s="21" t="s">
        <v>170</v>
      </c>
      <c r="D18" s="22" t="s">
        <v>148</v>
      </c>
    </row>
    <row r="19" customFormat="false" ht="18.75" hidden="false" customHeight="true" outlineLevel="0" collapsed="false">
      <c r="A19" s="21" t="s">
        <v>171</v>
      </c>
      <c r="B19" s="22" t="s">
        <v>172</v>
      </c>
      <c r="C19" s="22"/>
      <c r="D19" s="22"/>
    </row>
    <row r="20" customFormat="false" ht="27.75" hidden="false" customHeight="true" outlineLevel="0" collapsed="false">
      <c r="A20" s="21" t="s">
        <v>173</v>
      </c>
      <c r="B20" s="22"/>
      <c r="C20" s="22"/>
      <c r="D20" s="22"/>
    </row>
    <row r="22" customFormat="false" ht="16.5" hidden="false" customHeight="true" outlineLevel="0" collapsed="false">
      <c r="A22" s="23" t="s">
        <v>174</v>
      </c>
      <c r="B22" s="23"/>
      <c r="C22" s="23"/>
      <c r="D22" s="23"/>
    </row>
    <row r="23" customFormat="false" ht="13.5" hidden="false" customHeight="true" outlineLevel="0" collapsed="false">
      <c r="A23" s="24" t="s">
        <v>132</v>
      </c>
      <c r="B23" s="24" t="s">
        <v>175</v>
      </c>
      <c r="C23" s="24" t="s">
        <v>136</v>
      </c>
      <c r="D23" s="24" t="s">
        <v>176</v>
      </c>
    </row>
    <row r="24" customFormat="false" ht="21.75" hidden="false" customHeight="true" outlineLevel="0" collapsed="false">
      <c r="A24" s="25" t="s">
        <v>177</v>
      </c>
      <c r="B24" s="25" t="s">
        <v>178</v>
      </c>
      <c r="C24" s="26" t="s">
        <v>179</v>
      </c>
      <c r="D24" s="25" t="s">
        <v>180</v>
      </c>
    </row>
    <row r="25" customFormat="false" ht="13.5" hidden="false" customHeight="true" outlineLevel="0" collapsed="false">
      <c r="A25" s="25" t="s">
        <v>181</v>
      </c>
      <c r="B25" s="25" t="s">
        <v>182</v>
      </c>
      <c r="C25" s="26" t="s">
        <v>179</v>
      </c>
      <c r="D25" s="25" t="s">
        <v>183</v>
      </c>
    </row>
    <row r="26" customFormat="false" ht="13.5" hidden="false" customHeight="true" outlineLevel="0" collapsed="false">
      <c r="A26" s="25" t="s">
        <v>184</v>
      </c>
      <c r="B26" s="25" t="s">
        <v>185</v>
      </c>
      <c r="C26" s="27" t="s">
        <v>186</v>
      </c>
      <c r="D26" s="25" t="s">
        <v>187</v>
      </c>
    </row>
    <row r="27" customFormat="false" ht="13.5" hidden="false" customHeight="true" outlineLevel="0" collapsed="false">
      <c r="A27" s="25" t="s">
        <v>188</v>
      </c>
      <c r="B27" s="25" t="s">
        <v>189</v>
      </c>
      <c r="C27" s="27" t="s">
        <v>186</v>
      </c>
      <c r="D27" s="25" t="s">
        <v>190</v>
      </c>
    </row>
    <row r="28" customFormat="false" ht="13.5" hidden="false" customHeight="true" outlineLevel="0" collapsed="false">
      <c r="A28" s="25" t="s">
        <v>191</v>
      </c>
      <c r="B28" s="25" t="s">
        <v>192</v>
      </c>
      <c r="C28" s="27" t="s">
        <v>186</v>
      </c>
      <c r="D28" s="25" t="s">
        <v>193</v>
      </c>
    </row>
    <row r="29" customFormat="false" ht="13.5" hidden="false" customHeight="true" outlineLevel="0" collapsed="false">
      <c r="A29" s="25" t="s">
        <v>194</v>
      </c>
      <c r="B29" s="25" t="s">
        <v>192</v>
      </c>
      <c r="C29" s="27" t="s">
        <v>186</v>
      </c>
      <c r="D29" s="25" t="s">
        <v>195</v>
      </c>
    </row>
    <row r="30" customFormat="false" ht="13.5" hidden="false" customHeight="true" outlineLevel="0" collapsed="false">
      <c r="A30" s="25" t="s">
        <v>196</v>
      </c>
      <c r="B30" s="25" t="s">
        <v>197</v>
      </c>
      <c r="C30" s="27" t="s">
        <v>186</v>
      </c>
      <c r="D30" s="25" t="s">
        <v>198</v>
      </c>
    </row>
    <row r="31" customFormat="false" ht="21.75" hidden="false" customHeight="true" outlineLevel="0" collapsed="false">
      <c r="A31" s="25" t="s">
        <v>199</v>
      </c>
      <c r="B31" s="25" t="s">
        <v>200</v>
      </c>
      <c r="C31" s="28" t="s">
        <v>201</v>
      </c>
      <c r="D31" s="25" t="s">
        <v>202</v>
      </c>
    </row>
    <row r="32" customFormat="false" ht="13.5" hidden="false" customHeight="true" outlineLevel="0" collapsed="false">
      <c r="A32" s="25" t="s">
        <v>203</v>
      </c>
      <c r="B32" s="25" t="s">
        <v>204</v>
      </c>
      <c r="C32" s="29" t="s">
        <v>205</v>
      </c>
      <c r="D32" s="25" t="s">
        <v>206</v>
      </c>
    </row>
    <row r="34" customFormat="false" ht="16.5" hidden="false" customHeight="true" outlineLevel="0" collapsed="false">
      <c r="A34" s="23" t="s">
        <v>207</v>
      </c>
      <c r="B34" s="23"/>
      <c r="C34" s="23"/>
      <c r="D34" s="23"/>
    </row>
    <row r="35" customFormat="false" ht="21.75" hidden="false" customHeight="true" outlineLevel="0" collapsed="false">
      <c r="A35" s="30" t="s">
        <v>208</v>
      </c>
      <c r="B35" s="31" t="s">
        <v>209</v>
      </c>
      <c r="C35" s="31"/>
      <c r="D35" s="31"/>
    </row>
    <row r="36" customFormat="false" ht="21.75" hidden="false" customHeight="true" outlineLevel="0" collapsed="false">
      <c r="A36" s="30" t="s">
        <v>210</v>
      </c>
      <c r="B36" s="31" t="s">
        <v>211</v>
      </c>
      <c r="C36" s="31"/>
      <c r="D36" s="31"/>
    </row>
    <row r="37" customFormat="false" ht="21.75" hidden="false" customHeight="true" outlineLevel="0" collapsed="false">
      <c r="A37" s="30" t="s">
        <v>212</v>
      </c>
      <c r="B37" s="31" t="s">
        <v>213</v>
      </c>
      <c r="C37" s="31"/>
      <c r="D37" s="31"/>
    </row>
    <row r="38" customFormat="false" ht="21.75" hidden="false" customHeight="true" outlineLevel="0" collapsed="false">
      <c r="A38" s="30" t="s">
        <v>214</v>
      </c>
      <c r="B38" s="31" t="s">
        <v>215</v>
      </c>
      <c r="C38" s="31"/>
      <c r="D38" s="31"/>
    </row>
    <row r="40" customFormat="false" ht="33.75" hidden="false" customHeight="true" outlineLevel="0" collapsed="false">
      <c r="A40" s="3" t="s">
        <v>216</v>
      </c>
      <c r="B40" s="3"/>
      <c r="C40" s="3"/>
      <c r="D40" s="3"/>
    </row>
  </sheetData>
  <mergeCells count="16">
    <mergeCell ref="A1:D1"/>
    <mergeCell ref="A2:D2"/>
    <mergeCell ref="A5:D5"/>
    <mergeCell ref="A8:D8"/>
    <mergeCell ref="A12:D12"/>
    <mergeCell ref="A16:D16"/>
    <mergeCell ref="B17:D17"/>
    <mergeCell ref="B19:D19"/>
    <mergeCell ref="B20:D20"/>
    <mergeCell ref="A22:D22"/>
    <mergeCell ref="A34:D34"/>
    <mergeCell ref="B35:D35"/>
    <mergeCell ref="B36:D36"/>
    <mergeCell ref="B37:D37"/>
    <mergeCell ref="B38:D38"/>
    <mergeCell ref="A40:D40"/>
  </mergeCells>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11"/>
    <col collapsed="false" customWidth="true" hidden="false" outlineLevel="0" max="4" min="4" style="1" width="46"/>
    <col collapsed="false" customWidth="true" hidden="false" outlineLevel="0" max="5" min="5" style="1" width="25"/>
    <col collapsed="false" customWidth="true" hidden="false" outlineLevel="0" max="7" min="6" style="1" width="34"/>
    <col collapsed="false" customWidth="true" hidden="false" outlineLevel="0" max="8" min="8" style="1" width="24"/>
    <col collapsed="false" customWidth="true" hidden="false" outlineLevel="0" max="9" min="9" style="1" width="58"/>
  </cols>
  <sheetData>
    <row r="1" customFormat="false" ht="36" hidden="false" customHeight="true" outlineLevel="0" collapsed="false">
      <c r="A1" s="32" t="s">
        <v>217</v>
      </c>
      <c r="B1" s="32" t="s">
        <v>218</v>
      </c>
      <c r="C1" s="32" t="s">
        <v>136</v>
      </c>
      <c r="D1" s="32" t="s">
        <v>219</v>
      </c>
      <c r="E1" s="32" t="s">
        <v>220</v>
      </c>
      <c r="F1" s="32" t="s">
        <v>221</v>
      </c>
      <c r="G1" s="32" t="s">
        <v>222</v>
      </c>
      <c r="H1" s="32" t="s">
        <v>223</v>
      </c>
      <c r="I1" s="32" t="s">
        <v>224</v>
      </c>
    </row>
    <row r="2" customFormat="false" ht="91.5" hidden="false" customHeight="true" outlineLevel="0" collapsed="false">
      <c r="A2" s="12" t="s">
        <v>225</v>
      </c>
      <c r="B2" s="12" t="s">
        <v>226</v>
      </c>
      <c r="C2" s="33" t="s">
        <v>179</v>
      </c>
      <c r="D2" s="12" t="s">
        <v>227</v>
      </c>
      <c r="E2" s="12" t="s">
        <v>228</v>
      </c>
      <c r="F2" s="12" t="s">
        <v>229</v>
      </c>
      <c r="G2" s="12" t="s">
        <v>230</v>
      </c>
      <c r="H2" s="12" t="s">
        <v>231</v>
      </c>
      <c r="I2" s="12" t="s">
        <v>232</v>
      </c>
    </row>
    <row r="3" customFormat="false" ht="91.5" hidden="false" customHeight="true" outlineLevel="0" collapsed="false">
      <c r="A3" s="12" t="s">
        <v>233</v>
      </c>
      <c r="B3" s="12" t="s">
        <v>234</v>
      </c>
      <c r="C3" s="33" t="s">
        <v>179</v>
      </c>
      <c r="D3" s="12" t="s">
        <v>235</v>
      </c>
      <c r="E3" s="12" t="s">
        <v>182</v>
      </c>
      <c r="F3" s="12" t="s">
        <v>236</v>
      </c>
      <c r="G3" s="12" t="s">
        <v>237</v>
      </c>
      <c r="H3" s="12" t="s">
        <v>238</v>
      </c>
      <c r="I3" s="12" t="s">
        <v>239</v>
      </c>
    </row>
    <row r="4" customFormat="false" ht="91.5" hidden="false" customHeight="true" outlineLevel="0" collapsed="false">
      <c r="A4" s="12" t="s">
        <v>240</v>
      </c>
      <c r="B4" s="12" t="s">
        <v>241</v>
      </c>
      <c r="C4" s="34" t="s">
        <v>186</v>
      </c>
      <c r="D4" s="12" t="s">
        <v>242</v>
      </c>
      <c r="E4" s="12" t="s">
        <v>243</v>
      </c>
      <c r="F4" s="12" t="s">
        <v>244</v>
      </c>
      <c r="G4" s="12" t="s">
        <v>245</v>
      </c>
      <c r="H4" s="12" t="s">
        <v>246</v>
      </c>
      <c r="I4" s="12" t="s">
        <v>247</v>
      </c>
    </row>
    <row r="5" customFormat="false" ht="91.5" hidden="false" customHeight="true" outlineLevel="0" collapsed="false">
      <c r="A5" s="12" t="s">
        <v>248</v>
      </c>
      <c r="B5" s="12" t="s">
        <v>249</v>
      </c>
      <c r="C5" s="34" t="s">
        <v>186</v>
      </c>
      <c r="D5" s="12" t="s">
        <v>250</v>
      </c>
      <c r="E5" s="12" t="s">
        <v>189</v>
      </c>
      <c r="F5" s="12" t="s">
        <v>251</v>
      </c>
      <c r="G5" s="12" t="s">
        <v>252</v>
      </c>
      <c r="H5" s="12" t="s">
        <v>253</v>
      </c>
      <c r="I5" s="12" t="s">
        <v>254</v>
      </c>
    </row>
    <row r="6" customFormat="false" ht="91.5" hidden="false" customHeight="true" outlineLevel="0" collapsed="false">
      <c r="A6" s="12" t="s">
        <v>255</v>
      </c>
      <c r="B6" s="12" t="s">
        <v>256</v>
      </c>
      <c r="C6" s="34" t="s">
        <v>186</v>
      </c>
      <c r="D6" s="12" t="s">
        <v>257</v>
      </c>
      <c r="E6" s="12" t="s">
        <v>192</v>
      </c>
      <c r="F6" s="12" t="s">
        <v>258</v>
      </c>
      <c r="G6" s="12" t="s">
        <v>259</v>
      </c>
      <c r="H6" s="12" t="s">
        <v>260</v>
      </c>
      <c r="I6" s="12" t="s">
        <v>261</v>
      </c>
    </row>
    <row r="7" customFormat="false" ht="91.5" hidden="false" customHeight="true" outlineLevel="0" collapsed="false">
      <c r="A7" s="12" t="s">
        <v>262</v>
      </c>
      <c r="B7" s="12" t="s">
        <v>263</v>
      </c>
      <c r="C7" s="34" t="s">
        <v>186</v>
      </c>
      <c r="D7" s="12" t="s">
        <v>264</v>
      </c>
      <c r="E7" s="12" t="s">
        <v>192</v>
      </c>
      <c r="F7" s="12" t="s">
        <v>265</v>
      </c>
      <c r="G7" s="12" t="s">
        <v>266</v>
      </c>
      <c r="H7" s="12" t="s">
        <v>267</v>
      </c>
      <c r="I7" s="12" t="s">
        <v>268</v>
      </c>
    </row>
    <row r="8" customFormat="false" ht="91.5" hidden="false" customHeight="true" outlineLevel="0" collapsed="false">
      <c r="A8" s="12" t="s">
        <v>269</v>
      </c>
      <c r="B8" s="12" t="s">
        <v>270</v>
      </c>
      <c r="C8" s="34" t="s">
        <v>186</v>
      </c>
      <c r="D8" s="12" t="s">
        <v>271</v>
      </c>
      <c r="E8" s="12" t="s">
        <v>272</v>
      </c>
      <c r="F8" s="12" t="s">
        <v>273</v>
      </c>
      <c r="G8" s="12" t="s">
        <v>274</v>
      </c>
      <c r="H8" s="12" t="s">
        <v>275</v>
      </c>
      <c r="I8" s="12" t="s">
        <v>276</v>
      </c>
    </row>
    <row r="9" customFormat="false" ht="91.5" hidden="false" customHeight="true" outlineLevel="0" collapsed="false">
      <c r="A9" s="12" t="s">
        <v>277</v>
      </c>
      <c r="B9" s="12" t="s">
        <v>278</v>
      </c>
      <c r="C9" s="35" t="s">
        <v>201</v>
      </c>
      <c r="D9" s="12" t="s">
        <v>279</v>
      </c>
      <c r="E9" s="12" t="s">
        <v>280</v>
      </c>
      <c r="F9" s="12" t="s">
        <v>281</v>
      </c>
      <c r="G9" s="12" t="s">
        <v>282</v>
      </c>
      <c r="H9" s="12" t="s">
        <v>283</v>
      </c>
      <c r="I9" s="12" t="s">
        <v>284</v>
      </c>
    </row>
    <row r="11" customFormat="false" ht="15.75" hidden="false" customHeight="true" outlineLevel="0" collapsed="false">
      <c r="A11" s="4" t="s">
        <v>285</v>
      </c>
      <c r="B11" s="4"/>
      <c r="C11" s="4"/>
      <c r="D11" s="4"/>
      <c r="E11" s="4"/>
      <c r="F11" s="4"/>
      <c r="G11" s="4"/>
      <c r="H11" s="4"/>
      <c r="I11" s="4"/>
    </row>
    <row r="12" customFormat="false" ht="30" hidden="false" customHeight="true" outlineLevel="0" collapsed="false">
      <c r="A12" s="17" t="s">
        <v>286</v>
      </c>
      <c r="B12" s="17"/>
      <c r="C12" s="17"/>
      <c r="D12" s="17"/>
      <c r="E12" s="17"/>
      <c r="F12" s="17"/>
      <c r="G12" s="17"/>
      <c r="H12" s="17"/>
      <c r="I12" s="17"/>
    </row>
    <row r="13" customFormat="false" ht="30" hidden="false" customHeight="true" outlineLevel="0" collapsed="false">
      <c r="A13" s="17" t="s">
        <v>287</v>
      </c>
      <c r="B13" s="17"/>
      <c r="C13" s="17"/>
      <c r="D13" s="17"/>
      <c r="E13" s="17"/>
      <c r="F13" s="17"/>
      <c r="G13" s="17"/>
      <c r="H13" s="17"/>
      <c r="I13" s="17"/>
    </row>
    <row r="14" customFormat="false" ht="18" hidden="false" customHeight="true" outlineLevel="0" collapsed="false">
      <c r="A14" s="17" t="s">
        <v>288</v>
      </c>
      <c r="B14" s="17"/>
      <c r="C14" s="17"/>
      <c r="D14" s="17"/>
      <c r="E14" s="17"/>
      <c r="F14" s="17"/>
      <c r="G14" s="17"/>
      <c r="H14" s="17"/>
      <c r="I14" s="17"/>
    </row>
    <row r="16" customFormat="false" ht="15.75" hidden="false" customHeight="true" outlineLevel="0" collapsed="false">
      <c r="A16" s="4" t="s">
        <v>289</v>
      </c>
      <c r="B16" s="4"/>
      <c r="C16" s="4"/>
      <c r="D16" s="4"/>
      <c r="E16" s="4"/>
      <c r="F16" s="4"/>
      <c r="G16" s="4"/>
      <c r="H16" s="4"/>
      <c r="I16" s="4"/>
    </row>
    <row r="17" customFormat="false" ht="27.75" hidden="false" customHeight="true" outlineLevel="0" collapsed="false">
      <c r="A17" s="17" t="s">
        <v>290</v>
      </c>
      <c r="B17" s="17"/>
      <c r="C17" s="17"/>
      <c r="D17" s="17"/>
      <c r="E17" s="17"/>
      <c r="F17" s="17"/>
      <c r="G17" s="17"/>
      <c r="H17" s="17"/>
      <c r="I17" s="17"/>
    </row>
    <row r="19" customFormat="false" ht="15.75" hidden="false" customHeight="true" outlineLevel="0" collapsed="false">
      <c r="A19" s="4" t="s">
        <v>291</v>
      </c>
      <c r="B19" s="4"/>
      <c r="C19" s="4"/>
      <c r="D19" s="4"/>
      <c r="E19" s="4"/>
      <c r="F19" s="4"/>
      <c r="G19" s="4"/>
      <c r="H19" s="4"/>
      <c r="I19" s="4"/>
    </row>
    <row r="20" customFormat="false" ht="30" hidden="false" customHeight="true" outlineLevel="0" collapsed="false">
      <c r="A20" s="17" t="s">
        <v>292</v>
      </c>
      <c r="B20" s="17"/>
      <c r="C20" s="17"/>
      <c r="D20" s="17"/>
      <c r="E20" s="17"/>
      <c r="F20" s="17"/>
      <c r="G20" s="17"/>
      <c r="H20" s="17"/>
      <c r="I20" s="17"/>
    </row>
    <row r="22" customFormat="false" ht="15" hidden="false" customHeight="true" outlineLevel="0" collapsed="false">
      <c r="A22" s="4" t="s">
        <v>293</v>
      </c>
      <c r="B22" s="4"/>
      <c r="C22" s="4"/>
      <c r="D22" s="4"/>
      <c r="E22" s="4"/>
      <c r="F22" s="4"/>
      <c r="G22" s="4"/>
      <c r="H22" s="4"/>
      <c r="I22" s="4"/>
    </row>
    <row r="23" customFormat="false" ht="30" hidden="false" customHeight="true" outlineLevel="0" collapsed="false">
      <c r="A23" s="17" t="s">
        <v>294</v>
      </c>
      <c r="B23" s="17"/>
      <c r="C23" s="17"/>
      <c r="D23" s="17"/>
      <c r="E23" s="17"/>
      <c r="F23" s="17"/>
      <c r="G23" s="17"/>
      <c r="H23" s="17"/>
      <c r="I23" s="17"/>
    </row>
  </sheetData>
  <mergeCells count="10">
    <mergeCell ref="A11:I11"/>
    <mergeCell ref="A12:I12"/>
    <mergeCell ref="A13:I13"/>
    <mergeCell ref="A14:I14"/>
    <mergeCell ref="A16:I16"/>
    <mergeCell ref="A17:I17"/>
    <mergeCell ref="A19:I19"/>
    <mergeCell ref="A20:I20"/>
    <mergeCell ref="A22:I22"/>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C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3" min="3" style="1" width="86"/>
  </cols>
  <sheetData>
    <row r="1" customFormat="false" ht="21.75" hidden="false" customHeight="true" outlineLevel="0" collapsed="false">
      <c r="A1" s="20" t="s">
        <v>295</v>
      </c>
      <c r="B1" s="20"/>
      <c r="C1" s="20"/>
    </row>
    <row r="2" customFormat="false" ht="30" hidden="false" customHeight="true" outlineLevel="0" collapsed="false">
      <c r="A2" s="3" t="s">
        <v>296</v>
      </c>
      <c r="B2" s="3"/>
      <c r="C2" s="3"/>
    </row>
    <row r="4" customFormat="false" ht="15.75" hidden="false" customHeight="true" outlineLevel="0" collapsed="false">
      <c r="A4" s="4" t="s">
        <v>297</v>
      </c>
      <c r="B4" s="4"/>
      <c r="C4" s="4"/>
    </row>
    <row r="5" customFormat="false" ht="27.75" hidden="false" customHeight="true" outlineLevel="0" collapsed="false">
      <c r="A5" s="19" t="s">
        <v>298</v>
      </c>
      <c r="B5" s="17" t="s">
        <v>299</v>
      </c>
      <c r="C5" s="17"/>
    </row>
    <row r="6" customFormat="false" ht="27.75" hidden="false" customHeight="true" outlineLevel="0" collapsed="false">
      <c r="A6" s="19" t="s">
        <v>300</v>
      </c>
      <c r="B6" s="17" t="s">
        <v>301</v>
      </c>
      <c r="C6" s="17"/>
    </row>
    <row r="7" customFormat="false" ht="15" hidden="false" customHeight="true" outlineLevel="0" collapsed="false">
      <c r="A7" s="6" t="s">
        <v>302</v>
      </c>
      <c r="B7" s="36" t="n">
        <v>46301</v>
      </c>
      <c r="C7" s="8" t="s">
        <v>303</v>
      </c>
    </row>
    <row r="8" customFormat="false" ht="15" hidden="false" customHeight="true" outlineLevel="0" collapsed="false">
      <c r="A8" s="6" t="s">
        <v>304</v>
      </c>
      <c r="B8" s="37" t="n">
        <f aca="false">$B$7+90</f>
        <v>46391</v>
      </c>
      <c r="C8" s="38" t="s">
        <v>305</v>
      </c>
    </row>
    <row r="10" customFormat="false" ht="15.75" hidden="false" customHeight="true" outlineLevel="0" collapsed="false">
      <c r="A10" s="4" t="s">
        <v>306</v>
      </c>
      <c r="B10" s="4"/>
      <c r="C10" s="4"/>
    </row>
    <row r="11" customFormat="false" ht="25.5" hidden="false" customHeight="true" outlineLevel="0" collapsed="false">
      <c r="A11" s="39" t="s">
        <v>307</v>
      </c>
      <c r="B11" s="7" t="n">
        <v>12</v>
      </c>
      <c r="C11" s="8" t="s">
        <v>308</v>
      </c>
    </row>
    <row r="12" customFormat="false" ht="15" hidden="false" customHeight="true" outlineLevel="0" collapsed="false">
      <c r="A12" s="39" t="s">
        <v>309</v>
      </c>
      <c r="B12" s="40" t="n">
        <v>2</v>
      </c>
      <c r="C12" s="8" t="s">
        <v>310</v>
      </c>
    </row>
    <row r="13" customFormat="false" ht="15" hidden="false" customHeight="true" outlineLevel="0" collapsed="false">
      <c r="A13" s="39" t="s">
        <v>311</v>
      </c>
      <c r="B13" s="7" t="n">
        <v>80</v>
      </c>
      <c r="C13" s="8" t="s">
        <v>312</v>
      </c>
    </row>
    <row r="14" customFormat="false" ht="15" hidden="false" customHeight="true" outlineLevel="0" collapsed="false">
      <c r="A14" s="39" t="s">
        <v>313</v>
      </c>
      <c r="B14" s="41" t="n">
        <v>1.5</v>
      </c>
      <c r="C14" s="8" t="s">
        <v>314</v>
      </c>
    </row>
    <row r="15" customFormat="false" ht="25.5" hidden="false" customHeight="true" outlineLevel="0" collapsed="false">
      <c r="A15" s="39" t="s">
        <v>315</v>
      </c>
      <c r="B15" s="7" t="n">
        <v>1350</v>
      </c>
      <c r="C15" s="8" t="s">
        <v>316</v>
      </c>
    </row>
    <row r="16" customFormat="false" ht="15" hidden="false" customHeight="true" outlineLevel="0" collapsed="false">
      <c r="A16" s="39" t="s">
        <v>317</v>
      </c>
      <c r="B16" s="9" t="n">
        <v>18</v>
      </c>
      <c r="C16" s="8" t="s">
        <v>318</v>
      </c>
    </row>
    <row r="17" customFormat="false" ht="15" hidden="false" customHeight="true" outlineLevel="0" collapsed="false">
      <c r="A17" s="6" t="s">
        <v>8</v>
      </c>
      <c r="B17" s="42" t="n">
        <f aca="false">'Start Here'!$B$7</f>
        <v>15</v>
      </c>
      <c r="C17" s="38" t="s">
        <v>319</v>
      </c>
    </row>
    <row r="19" customFormat="false" ht="15.75" hidden="false" customHeight="true" outlineLevel="0" collapsed="false">
      <c r="A19" s="4" t="s">
        <v>320</v>
      </c>
      <c r="B19" s="4"/>
      <c r="C19" s="4"/>
    </row>
    <row r="20" customFormat="false" ht="15" hidden="false" customHeight="true" outlineLevel="0" collapsed="false">
      <c r="A20" s="43" t="s">
        <v>321</v>
      </c>
      <c r="B20" s="44" t="n">
        <f aca="false">COUNTA('Ash Register'!$D$3:$D$302)</f>
        <v>0</v>
      </c>
    </row>
    <row r="21" customFormat="false" ht="15" hidden="false" customHeight="true" outlineLevel="0" collapsed="false">
      <c r="A21" s="43" t="s">
        <v>322</v>
      </c>
      <c r="B21" s="44" t="n">
        <f aca="false">COUNTIF('Ash Register'!$J$3:$J$302,"REMOVE NOW*")</f>
        <v>0</v>
      </c>
    </row>
    <row r="22" customFormat="false" ht="15" hidden="false" customHeight="true" outlineLevel="0" collapsed="false">
      <c r="A22" s="43" t="s">
        <v>323</v>
      </c>
      <c r="B22" s="44" t="n">
        <f aca="false">COUNTIF('Ash Register'!$J$3:$J$302,"GRAY*")</f>
        <v>0</v>
      </c>
    </row>
    <row r="23" customFormat="false" ht="15" hidden="false" customHeight="true" outlineLevel="0" collapsed="false">
      <c r="A23" s="43" t="s">
        <v>324</v>
      </c>
      <c r="B23" s="44" t="n">
        <f aca="false">COUNTIF('Ash Register'!$J$3:$J$302,"TREAT")</f>
        <v>0</v>
      </c>
    </row>
    <row r="24" customFormat="false" ht="15" hidden="false" customHeight="true" outlineLevel="0" collapsed="false">
      <c r="A24" s="43" t="s">
        <v>325</v>
      </c>
      <c r="B24" s="44" t="n">
        <f aca="false">COUNTIF('Ash Register'!$J$3:$J$302,"PLANT FIRST*")</f>
        <v>0</v>
      </c>
    </row>
    <row r="25" customFormat="false" ht="15" hidden="false" customHeight="true" outlineLevel="0" collapsed="false">
      <c r="A25" s="43" t="s">
        <v>326</v>
      </c>
      <c r="B25" s="44" t="n">
        <f aca="false">COUNTIF('Ash Register'!$J$3:$J$302,"REMOVE AND*")</f>
        <v>0</v>
      </c>
    </row>
    <row r="26" customFormat="false" ht="15" hidden="false" customHeight="true" outlineLevel="0" collapsed="false">
      <c r="A26" s="43" t="s">
        <v>327</v>
      </c>
      <c r="B26" s="44" t="n">
        <f aca="false">COUNTIF('Ash Register'!$Q$3:$Q$302,"Treated")</f>
        <v>0</v>
      </c>
    </row>
    <row r="27" customFormat="false" ht="15" hidden="false" customHeight="true" outlineLevel="0" collapsed="false">
      <c r="A27" s="43" t="s">
        <v>328</v>
      </c>
      <c r="B27" s="44" t="n">
        <f aca="true">COUNTIFS('Ash Register'!$S$3:$S$302,"&lt;"&amp;TODAY())</f>
        <v>0</v>
      </c>
    </row>
    <row r="28" customFormat="false" ht="15" hidden="false" customHeight="true" outlineLevel="0" collapsed="false">
      <c r="A28" s="43" t="s">
        <v>329</v>
      </c>
      <c r="B28" s="44" t="n">
        <f aca="false">SUMIF('Ash Register'!$Q$3:$Q$302,"Treated",'Ash Register'!$D$3:$D$302)</f>
        <v>0</v>
      </c>
    </row>
    <row r="29" customFormat="false" ht="15" hidden="false" customHeight="true" outlineLevel="0" collapsed="false">
      <c r="A29" s="43" t="s">
        <v>330</v>
      </c>
      <c r="B29" s="45" t="n">
        <f aca="false">SUMIF('Ash Register'!$Q$3:$Q$302,"Treated",'Ash Register'!$D$3:$D$302)*'Ash EAB'!$B$11/'Ash EAB'!$B$12</f>
        <v>0</v>
      </c>
    </row>
    <row r="31" customFormat="false" ht="15.75" hidden="false" customHeight="true" outlineLevel="0" collapsed="false">
      <c r="A31" s="4" t="s">
        <v>331</v>
      </c>
      <c r="B31" s="4"/>
      <c r="C31" s="4"/>
    </row>
    <row r="32" customFormat="false" ht="15" hidden="false" customHeight="true" outlineLevel="0" collapsed="false">
      <c r="A32" s="19" t="s">
        <v>106</v>
      </c>
      <c r="B32" s="17" t="s">
        <v>332</v>
      </c>
      <c r="C32" s="17"/>
    </row>
    <row r="33" customFormat="false" ht="15" hidden="false" customHeight="true" outlineLevel="0" collapsed="false">
      <c r="A33" s="19" t="s">
        <v>108</v>
      </c>
      <c r="B33" s="17" t="s">
        <v>333</v>
      </c>
      <c r="C33" s="17"/>
    </row>
    <row r="34" customFormat="false" ht="27.75" hidden="false" customHeight="true" outlineLevel="0" collapsed="false">
      <c r="A34" s="19" t="s">
        <v>110</v>
      </c>
      <c r="B34" s="17" t="s">
        <v>334</v>
      </c>
      <c r="C34" s="17"/>
    </row>
    <row r="35" customFormat="false" ht="15" hidden="false" customHeight="true" outlineLevel="0" collapsed="false">
      <c r="A35" s="19" t="s">
        <v>112</v>
      </c>
      <c r="B35" s="17" t="s">
        <v>335</v>
      </c>
      <c r="C35" s="17"/>
    </row>
    <row r="36" customFormat="false" ht="15" hidden="false" customHeight="true" outlineLevel="0" collapsed="false">
      <c r="A36" s="19" t="s">
        <v>114</v>
      </c>
      <c r="B36" s="17" t="s">
        <v>336</v>
      </c>
      <c r="C36" s="17"/>
    </row>
    <row r="37" customFormat="false" ht="15" hidden="false" customHeight="true" outlineLevel="0" collapsed="false">
      <c r="A37" s="19" t="s">
        <v>337</v>
      </c>
      <c r="B37" s="17" t="s">
        <v>338</v>
      </c>
      <c r="C37" s="17"/>
    </row>
    <row r="39" customFormat="false" ht="15.75" hidden="false" customHeight="true" outlineLevel="0" collapsed="false">
      <c r="A39" s="4" t="s">
        <v>339</v>
      </c>
      <c r="B39" s="4"/>
      <c r="C39" s="4"/>
    </row>
    <row r="40" customFormat="false" ht="39.75" hidden="false" customHeight="true" outlineLevel="0" collapsed="false">
      <c r="A40" s="17" t="s">
        <v>340</v>
      </c>
      <c r="B40" s="17"/>
      <c r="C40" s="17"/>
    </row>
    <row r="42" customFormat="false" ht="15.75" hidden="false" customHeight="true" outlineLevel="0" collapsed="false">
      <c r="A42" s="4" t="s">
        <v>341</v>
      </c>
      <c r="B42" s="4"/>
      <c r="C42" s="4"/>
    </row>
    <row r="43" customFormat="false" ht="51.75" hidden="false" customHeight="true" outlineLevel="0" collapsed="false">
      <c r="A43" s="46" t="s">
        <v>342</v>
      </c>
      <c r="B43" s="46"/>
      <c r="C43" s="46"/>
    </row>
    <row r="45" customFormat="false" ht="15.75" hidden="false" customHeight="true" outlineLevel="0" collapsed="false">
      <c r="A45" s="4" t="s">
        <v>343</v>
      </c>
      <c r="B45" s="4"/>
      <c r="C45" s="4"/>
    </row>
    <row r="46" customFormat="false" ht="15" hidden="false" customHeight="true" outlineLevel="0" collapsed="false">
      <c r="A46" s="19" t="s">
        <v>48</v>
      </c>
      <c r="B46" s="17" t="s">
        <v>344</v>
      </c>
      <c r="C46" s="17"/>
    </row>
    <row r="47" customFormat="false" ht="15" hidden="false" customHeight="true" outlineLevel="0" collapsed="false">
      <c r="A47" s="19" t="s">
        <v>50</v>
      </c>
      <c r="B47" s="17" t="s">
        <v>345</v>
      </c>
      <c r="C47" s="17"/>
    </row>
    <row r="48" customFormat="false" ht="15" hidden="false" customHeight="true" outlineLevel="0" collapsed="false">
      <c r="A48" s="19" t="s">
        <v>52</v>
      </c>
      <c r="B48" s="17" t="s">
        <v>346</v>
      </c>
      <c r="C48" s="17"/>
    </row>
    <row r="49" customFormat="false" ht="27.75" hidden="false" customHeight="true" outlineLevel="0" collapsed="false">
      <c r="A49" s="19" t="s">
        <v>54</v>
      </c>
      <c r="B49" s="17" t="s">
        <v>347</v>
      </c>
      <c r="C49" s="17"/>
    </row>
    <row r="50" customFormat="false" ht="15" hidden="false" customHeight="true" outlineLevel="0" collapsed="false">
      <c r="A50" s="19" t="s">
        <v>56</v>
      </c>
      <c r="B50" s="17" t="s">
        <v>348</v>
      </c>
      <c r="C50" s="17"/>
    </row>
    <row r="52" customFormat="false" ht="15.75" hidden="false" customHeight="true" outlineLevel="0" collapsed="false">
      <c r="A52" s="4" t="s">
        <v>349</v>
      </c>
      <c r="B52" s="4"/>
      <c r="C52" s="4"/>
    </row>
    <row r="53" customFormat="false" ht="15" hidden="false" customHeight="true" outlineLevel="0" collapsed="false">
      <c r="A53" s="19" t="s">
        <v>350</v>
      </c>
      <c r="B53" s="17" t="s">
        <v>351</v>
      </c>
      <c r="C53" s="17"/>
    </row>
    <row r="54" customFormat="false" ht="15" hidden="false" customHeight="true" outlineLevel="0" collapsed="false">
      <c r="A54" s="19" t="s">
        <v>350</v>
      </c>
      <c r="B54" s="17" t="s">
        <v>352</v>
      </c>
      <c r="C54" s="17"/>
    </row>
    <row r="55" customFormat="false" ht="15" hidden="false" customHeight="true" outlineLevel="0" collapsed="false">
      <c r="A55" s="19" t="s">
        <v>350</v>
      </c>
      <c r="B55" s="17" t="s">
        <v>353</v>
      </c>
      <c r="C55" s="17"/>
    </row>
    <row r="56" customFormat="false" ht="15" hidden="false" customHeight="true" outlineLevel="0" collapsed="false">
      <c r="A56" s="19" t="s">
        <v>350</v>
      </c>
      <c r="B56" s="17" t="s">
        <v>354</v>
      </c>
      <c r="C56" s="17"/>
    </row>
    <row r="57" customFormat="false" ht="15" hidden="false" customHeight="true" outlineLevel="0" collapsed="false">
      <c r="A57" s="19" t="s">
        <v>350</v>
      </c>
      <c r="B57" s="17" t="s">
        <v>355</v>
      </c>
      <c r="C57" s="17"/>
    </row>
    <row r="58" customFormat="false" ht="27.75" hidden="false" customHeight="true" outlineLevel="0" collapsed="false">
      <c r="A58" s="18" t="s">
        <v>356</v>
      </c>
      <c r="B58" s="18"/>
      <c r="C58" s="18"/>
    </row>
    <row r="60" customFormat="false" ht="15.75" hidden="false" customHeight="true" outlineLevel="0" collapsed="false">
      <c r="A60" s="4" t="s">
        <v>357</v>
      </c>
      <c r="B60" s="4"/>
      <c r="C60" s="4"/>
    </row>
    <row r="61" customFormat="false" ht="39.75" hidden="false" customHeight="true" outlineLevel="0" collapsed="false">
      <c r="A61" s="19" t="s">
        <v>106</v>
      </c>
      <c r="B61" s="17" t="s">
        <v>358</v>
      </c>
      <c r="C61" s="17"/>
    </row>
    <row r="62" customFormat="false" ht="27.75" hidden="false" customHeight="true" outlineLevel="0" collapsed="false">
      <c r="A62" s="19" t="s">
        <v>108</v>
      </c>
      <c r="B62" s="17" t="s">
        <v>359</v>
      </c>
      <c r="C62" s="17"/>
    </row>
    <row r="63" customFormat="false" ht="27.75" hidden="false" customHeight="true" outlineLevel="0" collapsed="false">
      <c r="A63" s="19" t="s">
        <v>110</v>
      </c>
      <c r="B63" s="17" t="s">
        <v>360</v>
      </c>
      <c r="C63" s="17"/>
    </row>
    <row r="64" customFormat="false" ht="15" hidden="false" customHeight="true" outlineLevel="0" collapsed="false">
      <c r="A64" s="19" t="s">
        <v>112</v>
      </c>
      <c r="B64" s="17" t="s">
        <v>361</v>
      </c>
      <c r="C64" s="17"/>
    </row>
    <row r="66" customFormat="false" ht="15.75" hidden="false" customHeight="true" outlineLevel="0" collapsed="false">
      <c r="A66" s="4" t="s">
        <v>362</v>
      </c>
      <c r="B66" s="4"/>
      <c r="C66" s="4"/>
    </row>
    <row r="67" customFormat="false" ht="15" hidden="false" customHeight="true" outlineLevel="0" collapsed="false">
      <c r="A67" s="19" t="s">
        <v>106</v>
      </c>
      <c r="B67" s="17" t="s">
        <v>363</v>
      </c>
      <c r="C67" s="17"/>
    </row>
    <row r="68" customFormat="false" ht="15" hidden="false" customHeight="true" outlineLevel="0" collapsed="false">
      <c r="A68" s="19" t="s">
        <v>108</v>
      </c>
      <c r="B68" s="17" t="s">
        <v>364</v>
      </c>
      <c r="C68" s="17"/>
    </row>
    <row r="69" customFormat="false" ht="15" hidden="false" customHeight="true" outlineLevel="0" collapsed="false">
      <c r="A69" s="19" t="s">
        <v>110</v>
      </c>
      <c r="B69" s="17" t="s">
        <v>365</v>
      </c>
      <c r="C69" s="17"/>
    </row>
    <row r="71" customFormat="false" ht="15.75" hidden="false" customHeight="true" outlineLevel="0" collapsed="false">
      <c r="A71" s="4" t="s">
        <v>366</v>
      </c>
      <c r="B71" s="4"/>
      <c r="C71" s="4"/>
    </row>
    <row r="72" customFormat="false" ht="27.75" hidden="false" customHeight="true" outlineLevel="0" collapsed="false">
      <c r="A72" s="17" t="s">
        <v>367</v>
      </c>
      <c r="B72" s="17"/>
      <c r="C72" s="17"/>
    </row>
    <row r="73" customFormat="false" ht="27.75" hidden="false" customHeight="true" outlineLevel="0" collapsed="false">
      <c r="A73" s="19" t="s">
        <v>368</v>
      </c>
      <c r="B73" s="17" t="s">
        <v>369</v>
      </c>
      <c r="C73" s="17"/>
    </row>
    <row r="74" customFormat="false" ht="15" hidden="false" customHeight="true" outlineLevel="0" collapsed="false">
      <c r="A74" s="19" t="s">
        <v>370</v>
      </c>
      <c r="B74" s="17" t="s">
        <v>371</v>
      </c>
      <c r="C74" s="17"/>
    </row>
    <row r="75" customFormat="false" ht="27.75" hidden="false" customHeight="true" outlineLevel="0" collapsed="false">
      <c r="A75" s="19" t="s">
        <v>372</v>
      </c>
      <c r="B75" s="17" t="s">
        <v>373</v>
      </c>
      <c r="C75" s="17"/>
    </row>
    <row r="77" customFormat="false" ht="15.75" hidden="false" customHeight="true" outlineLevel="0" collapsed="false">
      <c r="A77" s="4" t="s">
        <v>374</v>
      </c>
      <c r="B77" s="4"/>
      <c r="C77" s="4"/>
    </row>
    <row r="78" customFormat="false" ht="15" hidden="false" customHeight="true" outlineLevel="0" collapsed="false">
      <c r="A78" s="19" t="s">
        <v>106</v>
      </c>
      <c r="B78" s="17" t="s">
        <v>375</v>
      </c>
      <c r="C78" s="17"/>
    </row>
    <row r="79" customFormat="false" ht="15" hidden="false" customHeight="true" outlineLevel="0" collapsed="false">
      <c r="A79" s="19" t="s">
        <v>108</v>
      </c>
      <c r="B79" s="17" t="s">
        <v>376</v>
      </c>
      <c r="C79" s="17"/>
    </row>
    <row r="80" customFormat="false" ht="15" hidden="false" customHeight="true" outlineLevel="0" collapsed="false">
      <c r="A80" s="19" t="s">
        <v>110</v>
      </c>
      <c r="B80" s="17" t="s">
        <v>377</v>
      </c>
      <c r="C80" s="17"/>
    </row>
    <row r="81" customFormat="false" ht="15" hidden="false" customHeight="true" outlineLevel="0" collapsed="false">
      <c r="A81" s="19" t="s">
        <v>112</v>
      </c>
      <c r="B81" s="17" t="s">
        <v>378</v>
      </c>
      <c r="C81" s="17"/>
    </row>
    <row r="82" customFormat="false" ht="15" hidden="false" customHeight="true" outlineLevel="0" collapsed="false">
      <c r="A82" s="19" t="s">
        <v>114</v>
      </c>
      <c r="B82" s="17" t="s">
        <v>379</v>
      </c>
      <c r="C82" s="17"/>
    </row>
    <row r="84" customFormat="false" ht="15.75" hidden="false" customHeight="true" outlineLevel="0" collapsed="false">
      <c r="A84" s="4" t="s">
        <v>380</v>
      </c>
      <c r="B84" s="4"/>
      <c r="C84" s="4"/>
    </row>
    <row r="85" customFormat="false" ht="25.5" hidden="false" customHeight="true" outlineLevel="0" collapsed="false">
      <c r="A85" s="19" t="s">
        <v>381</v>
      </c>
      <c r="B85" s="17" t="s">
        <v>382</v>
      </c>
      <c r="C85" s="17"/>
    </row>
    <row r="86" customFormat="false" ht="25.5" hidden="false" customHeight="true" outlineLevel="0" collapsed="false">
      <c r="A86" s="19" t="s">
        <v>383</v>
      </c>
      <c r="B86" s="17" t="s">
        <v>384</v>
      </c>
      <c r="C86" s="17"/>
    </row>
    <row r="87" customFormat="false" ht="25.5" hidden="false" customHeight="true" outlineLevel="0" collapsed="false">
      <c r="A87" s="19" t="s">
        <v>385</v>
      </c>
      <c r="B87" s="17" t="s">
        <v>386</v>
      </c>
      <c r="C87" s="17"/>
    </row>
    <row r="88" customFormat="false" ht="25.5" hidden="false" customHeight="true" outlineLevel="0" collapsed="false">
      <c r="A88" s="19" t="s">
        <v>387</v>
      </c>
      <c r="B88" s="17" t="s">
        <v>388</v>
      </c>
      <c r="C88" s="17"/>
    </row>
    <row r="89" customFormat="false" ht="25.5" hidden="false" customHeight="true" outlineLevel="0" collapsed="false">
      <c r="A89" s="19" t="s">
        <v>389</v>
      </c>
      <c r="B89" s="17" t="s">
        <v>390</v>
      </c>
      <c r="C89" s="17"/>
    </row>
    <row r="90" customFormat="false" ht="25.5" hidden="false" customHeight="true" outlineLevel="0" collapsed="false">
      <c r="A90" s="19" t="s">
        <v>391</v>
      </c>
      <c r="B90" s="17" t="s">
        <v>392</v>
      </c>
      <c r="C90" s="17"/>
    </row>
  </sheetData>
  <mergeCells count="58">
    <mergeCell ref="A1:C1"/>
    <mergeCell ref="A2:C2"/>
    <mergeCell ref="A4:C4"/>
    <mergeCell ref="B5:C5"/>
    <mergeCell ref="B6:C6"/>
    <mergeCell ref="A10:C10"/>
    <mergeCell ref="A19:C19"/>
    <mergeCell ref="A31:C31"/>
    <mergeCell ref="B32:C32"/>
    <mergeCell ref="B33:C33"/>
    <mergeCell ref="B34:C34"/>
    <mergeCell ref="B35:C35"/>
    <mergeCell ref="B36:C36"/>
    <mergeCell ref="B37:C37"/>
    <mergeCell ref="A39:C39"/>
    <mergeCell ref="A40:C40"/>
    <mergeCell ref="A42:C42"/>
    <mergeCell ref="A43:C43"/>
    <mergeCell ref="A45:C45"/>
    <mergeCell ref="B46:C46"/>
    <mergeCell ref="B47:C47"/>
    <mergeCell ref="B48:C48"/>
    <mergeCell ref="B49:C49"/>
    <mergeCell ref="B50:C50"/>
    <mergeCell ref="A52:C52"/>
    <mergeCell ref="B53:C53"/>
    <mergeCell ref="B54:C54"/>
    <mergeCell ref="B55:C55"/>
    <mergeCell ref="B56:C56"/>
    <mergeCell ref="B57:C57"/>
    <mergeCell ref="A58:C58"/>
    <mergeCell ref="A60:C60"/>
    <mergeCell ref="B61:C61"/>
    <mergeCell ref="B62:C62"/>
    <mergeCell ref="B63:C63"/>
    <mergeCell ref="B64:C64"/>
    <mergeCell ref="A66:C66"/>
    <mergeCell ref="B67:C67"/>
    <mergeCell ref="B68:C68"/>
    <mergeCell ref="B69:C69"/>
    <mergeCell ref="A71:C71"/>
    <mergeCell ref="A72:C72"/>
    <mergeCell ref="B73:C73"/>
    <mergeCell ref="B74:C74"/>
    <mergeCell ref="B75:C75"/>
    <mergeCell ref="A77:C77"/>
    <mergeCell ref="B78:C78"/>
    <mergeCell ref="B79:C79"/>
    <mergeCell ref="B80:C80"/>
    <mergeCell ref="B81:C81"/>
    <mergeCell ref="B82:C82"/>
    <mergeCell ref="A84:C84"/>
    <mergeCell ref="B85:C85"/>
    <mergeCell ref="B86:C86"/>
    <mergeCell ref="B87:C87"/>
    <mergeCell ref="B88:C88"/>
    <mergeCell ref="B89:C89"/>
    <mergeCell ref="B90:C90"/>
  </mergeCells>
  <conditionalFormatting sqref="B8">
    <cfRule type="expression" priority="2" aboveAverage="0" equalAverage="0" bottom="0" percent="0" rank="0" text="" dxfId="0">
      <formula>B8&lt;TODAY()</formula>
    </cfRule>
    <cfRule type="expression" priority="3" aboveAverage="0" equalAverage="0" bottom="0" percent="0" rank="0" text="" dxfId="1">
      <formula>B8&lt;TODAY()+30</formula>
    </cfRule>
  </conditionalFormatting>
  <conditionalFormatting sqref="B27">
    <cfRule type="expression" priority="4" aboveAverage="0" equalAverage="0" bottom="0" percent="0" rank="0" text="" dxfId="0">
      <formula>B27&gt;0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U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13"/>
    <col collapsed="false" customWidth="true" hidden="false" outlineLevel="0" max="4" min="4" style="1" width="14"/>
    <col collapsed="false" customWidth="true" hidden="false" outlineLevel="0" max="5" min="5" style="1" width="28"/>
    <col collapsed="false" customWidth="true" hidden="false" outlineLevel="0" max="6" min="6" style="1" width="22"/>
    <col collapsed="false" customWidth="true" hidden="false" outlineLevel="0" max="7" min="7" style="1" width="13"/>
    <col collapsed="false" customWidth="true" hidden="false" outlineLevel="0" max="8" min="8" style="1" width="8"/>
    <col collapsed="false" customWidth="true" hidden="false" outlineLevel="0" max="10" min="9" style="1" width="11"/>
    <col collapsed="false" customWidth="true" hidden="false" outlineLevel="0" max="11" min="11" style="1" width="7"/>
    <col collapsed="false" customWidth="true" hidden="false" outlineLevel="0" max="15" min="12" style="1" width="9"/>
    <col collapsed="false" customWidth="true" hidden="false" outlineLevel="0" max="16" min="16" style="1" width="13"/>
    <col collapsed="false" customWidth="true" hidden="false" outlineLevel="0" max="17" min="17" style="1" width="9"/>
    <col collapsed="false" customWidth="true" hidden="false" outlineLevel="0" max="18" min="18" style="1" width="34"/>
    <col collapsed="false" customWidth="true" hidden="false" outlineLevel="0" max="19" min="19" style="1" width="58"/>
    <col collapsed="false" customWidth="true" hidden="false" outlineLevel="0" max="20" min="20" style="1" width="15"/>
    <col collapsed="false" customWidth="true" hidden="false" outlineLevel="0" max="21" min="21" style="1" width="11"/>
  </cols>
  <sheetData>
    <row r="1" customFormat="false" ht="36" hidden="false" customHeight="true" outlineLevel="0" collapsed="false">
      <c r="A1" s="32" t="s">
        <v>393</v>
      </c>
      <c r="B1" s="32" t="s">
        <v>394</v>
      </c>
      <c r="C1" s="32" t="s">
        <v>395</v>
      </c>
      <c r="D1" s="32" t="s">
        <v>396</v>
      </c>
      <c r="E1" s="32" t="s">
        <v>397</v>
      </c>
      <c r="F1" s="32" t="s">
        <v>398</v>
      </c>
      <c r="G1" s="32" t="s">
        <v>399</v>
      </c>
      <c r="H1" s="32" t="s">
        <v>400</v>
      </c>
      <c r="I1" s="32" t="s">
        <v>401</v>
      </c>
      <c r="J1" s="32" t="s">
        <v>402</v>
      </c>
      <c r="K1" s="32" t="s">
        <v>403</v>
      </c>
      <c r="L1" s="32" t="s">
        <v>404</v>
      </c>
      <c r="M1" s="32" t="s">
        <v>405</v>
      </c>
      <c r="N1" s="32" t="s">
        <v>406</v>
      </c>
      <c r="O1" s="32" t="s">
        <v>407</v>
      </c>
      <c r="P1" s="32" t="s">
        <v>408</v>
      </c>
      <c r="Q1" s="32" t="s">
        <v>409</v>
      </c>
      <c r="R1" s="32" t="s">
        <v>410</v>
      </c>
      <c r="S1" s="32" t="s">
        <v>411</v>
      </c>
      <c r="T1" s="32" t="s">
        <v>412</v>
      </c>
      <c r="U1" s="32" t="s">
        <v>413</v>
      </c>
    </row>
    <row r="2" customFormat="false" ht="32.25" hidden="false" customHeight="true" outlineLevel="0" collapsed="false">
      <c r="A2" s="43" t="s">
        <v>414</v>
      </c>
      <c r="B2" s="43" t="s">
        <v>415</v>
      </c>
      <c r="C2" s="43" t="s">
        <v>416</v>
      </c>
      <c r="D2" s="43" t="s">
        <v>417</v>
      </c>
      <c r="E2" s="12" t="s">
        <v>418</v>
      </c>
      <c r="F2" s="12" t="s">
        <v>419</v>
      </c>
      <c r="G2" s="47" t="s">
        <v>420</v>
      </c>
      <c r="H2" s="47" t="n">
        <v>50</v>
      </c>
      <c r="I2" s="47" t="s">
        <v>421</v>
      </c>
      <c r="J2" s="47" t="s">
        <v>422</v>
      </c>
      <c r="K2" s="11" t="s">
        <v>423</v>
      </c>
      <c r="L2" s="47" t="s">
        <v>424</v>
      </c>
      <c r="M2" s="47" t="s">
        <v>424</v>
      </c>
      <c r="N2" s="47" t="s">
        <v>424</v>
      </c>
      <c r="O2" s="47" t="s">
        <v>425</v>
      </c>
      <c r="P2" s="47" t="s">
        <v>426</v>
      </c>
      <c r="Q2" s="47" t="n">
        <v>4</v>
      </c>
      <c r="R2" s="12" t="s">
        <v>427</v>
      </c>
      <c r="S2" s="12" t="s">
        <v>428</v>
      </c>
      <c r="T2" s="43" t="s">
        <v>429</v>
      </c>
      <c r="U2" s="37"/>
    </row>
    <row r="3" customFormat="false" ht="42.75" hidden="false" customHeight="true" outlineLevel="0" collapsed="false">
      <c r="A3" s="43" t="s">
        <v>430</v>
      </c>
      <c r="B3" s="43" t="s">
        <v>431</v>
      </c>
      <c r="C3" s="43" t="s">
        <v>432</v>
      </c>
      <c r="D3" s="43" t="s">
        <v>433</v>
      </c>
      <c r="E3" s="12" t="s">
        <v>434</v>
      </c>
      <c r="F3" s="12" t="s">
        <v>419</v>
      </c>
      <c r="G3" s="47" t="s">
        <v>435</v>
      </c>
      <c r="H3" s="47" t="n">
        <v>60</v>
      </c>
      <c r="I3" s="47" t="s">
        <v>422</v>
      </c>
      <c r="J3" s="47" t="s">
        <v>421</v>
      </c>
      <c r="K3" s="11" t="s">
        <v>423</v>
      </c>
      <c r="L3" s="47" t="s">
        <v>424</v>
      </c>
      <c r="M3" s="47" t="s">
        <v>424</v>
      </c>
      <c r="N3" s="47" t="s">
        <v>436</v>
      </c>
      <c r="O3" s="47" t="s">
        <v>425</v>
      </c>
      <c r="P3" s="47" t="s">
        <v>426</v>
      </c>
      <c r="Q3" s="47" t="n">
        <v>2</v>
      </c>
      <c r="R3" s="12" t="s">
        <v>437</v>
      </c>
      <c r="S3" s="12" t="s">
        <v>438</v>
      </c>
      <c r="T3" s="43" t="s">
        <v>439</v>
      </c>
      <c r="U3" s="37"/>
    </row>
    <row r="4" customFormat="false" ht="32.25" hidden="false" customHeight="true" outlineLevel="0" collapsed="false">
      <c r="A4" s="43" t="s">
        <v>440</v>
      </c>
      <c r="B4" s="43" t="s">
        <v>441</v>
      </c>
      <c r="C4" s="43" t="s">
        <v>432</v>
      </c>
      <c r="D4" s="43" t="s">
        <v>433</v>
      </c>
      <c r="E4" s="12" t="s">
        <v>442</v>
      </c>
      <c r="F4" s="12" t="s">
        <v>419</v>
      </c>
      <c r="G4" s="47" t="s">
        <v>443</v>
      </c>
      <c r="H4" s="47" t="n">
        <v>80</v>
      </c>
      <c r="I4" s="47" t="s">
        <v>422</v>
      </c>
      <c r="J4" s="47" t="s">
        <v>422</v>
      </c>
      <c r="K4" s="11" t="s">
        <v>423</v>
      </c>
      <c r="L4" s="47" t="s">
        <v>424</v>
      </c>
      <c r="M4" s="47" t="s">
        <v>424</v>
      </c>
      <c r="N4" s="47" t="s">
        <v>424</v>
      </c>
      <c r="O4" s="47" t="s">
        <v>425</v>
      </c>
      <c r="P4" s="47" t="s">
        <v>426</v>
      </c>
      <c r="Q4" s="47" t="n">
        <v>3</v>
      </c>
      <c r="R4" s="12" t="s">
        <v>444</v>
      </c>
      <c r="S4" s="12" t="s">
        <v>445</v>
      </c>
      <c r="T4" s="43" t="s">
        <v>439</v>
      </c>
      <c r="U4" s="37"/>
    </row>
    <row r="5" customFormat="false" ht="32.25" hidden="false" customHeight="true" outlineLevel="0" collapsed="false">
      <c r="A5" s="43" t="s">
        <v>446</v>
      </c>
      <c r="B5" s="43" t="s">
        <v>447</v>
      </c>
      <c r="C5" s="43" t="s">
        <v>432</v>
      </c>
      <c r="D5" s="43" t="s">
        <v>433</v>
      </c>
      <c r="E5" s="12" t="s">
        <v>434</v>
      </c>
      <c r="F5" s="12" t="s">
        <v>448</v>
      </c>
      <c r="G5" s="47" t="s">
        <v>435</v>
      </c>
      <c r="H5" s="47" t="n">
        <v>60</v>
      </c>
      <c r="I5" s="47" t="s">
        <v>422</v>
      </c>
      <c r="J5" s="47" t="s">
        <v>422</v>
      </c>
      <c r="K5" s="11" t="s">
        <v>423</v>
      </c>
      <c r="L5" s="47" t="s">
        <v>424</v>
      </c>
      <c r="M5" s="47" t="s">
        <v>424</v>
      </c>
      <c r="N5" s="47" t="s">
        <v>436</v>
      </c>
      <c r="O5" s="47" t="s">
        <v>425</v>
      </c>
      <c r="P5" s="47" t="s">
        <v>426</v>
      </c>
      <c r="Q5" s="47" t="n">
        <v>2</v>
      </c>
      <c r="R5" s="12" t="s">
        <v>449</v>
      </c>
      <c r="S5" s="12" t="s">
        <v>450</v>
      </c>
      <c r="T5" s="43" t="s">
        <v>429</v>
      </c>
      <c r="U5" s="37"/>
    </row>
    <row r="6" customFormat="false" ht="32.25" hidden="false" customHeight="true" outlineLevel="0" collapsed="false">
      <c r="A6" s="43" t="s">
        <v>451</v>
      </c>
      <c r="B6" s="43" t="s">
        <v>452</v>
      </c>
      <c r="C6" s="43" t="s">
        <v>432</v>
      </c>
      <c r="D6" s="43" t="s">
        <v>433</v>
      </c>
      <c r="E6" s="12" t="s">
        <v>434</v>
      </c>
      <c r="F6" s="12" t="s">
        <v>419</v>
      </c>
      <c r="G6" s="47" t="s">
        <v>453</v>
      </c>
      <c r="H6" s="47" t="n">
        <v>80</v>
      </c>
      <c r="I6" s="47" t="s">
        <v>422</v>
      </c>
      <c r="J6" s="47" t="s">
        <v>422</v>
      </c>
      <c r="K6" s="11" t="s">
        <v>423</v>
      </c>
      <c r="L6" s="47" t="s">
        <v>424</v>
      </c>
      <c r="M6" s="47" t="s">
        <v>424</v>
      </c>
      <c r="N6" s="47" t="s">
        <v>424</v>
      </c>
      <c r="O6" s="47" t="s">
        <v>425</v>
      </c>
      <c r="P6" s="47" t="s">
        <v>426</v>
      </c>
      <c r="Q6" s="47" t="n">
        <v>2</v>
      </c>
      <c r="R6" s="12" t="s">
        <v>437</v>
      </c>
      <c r="S6" s="12" t="s">
        <v>454</v>
      </c>
      <c r="T6" s="43" t="s">
        <v>429</v>
      </c>
      <c r="U6" s="37"/>
    </row>
    <row r="7" customFormat="false" ht="21.75" hidden="false" customHeight="true" outlineLevel="0" collapsed="false">
      <c r="A7" s="43" t="s">
        <v>455</v>
      </c>
      <c r="B7" s="43" t="s">
        <v>456</v>
      </c>
      <c r="C7" s="43" t="s">
        <v>457</v>
      </c>
      <c r="D7" s="43" t="s">
        <v>458</v>
      </c>
      <c r="E7" s="12" t="s">
        <v>434</v>
      </c>
      <c r="F7" s="12" t="s">
        <v>459</v>
      </c>
      <c r="G7" s="47" t="s">
        <v>460</v>
      </c>
      <c r="H7" s="47" t="n">
        <v>70</v>
      </c>
      <c r="I7" s="47" t="s">
        <v>422</v>
      </c>
      <c r="J7" s="47" t="s">
        <v>461</v>
      </c>
      <c r="K7" s="11" t="s">
        <v>423</v>
      </c>
      <c r="L7" s="47" t="s">
        <v>436</v>
      </c>
      <c r="M7" s="47" t="s">
        <v>424</v>
      </c>
      <c r="N7" s="47" t="s">
        <v>424</v>
      </c>
      <c r="O7" s="47" t="s">
        <v>425</v>
      </c>
      <c r="P7" s="47" t="s">
        <v>426</v>
      </c>
      <c r="Q7" s="47" t="n">
        <v>2</v>
      </c>
      <c r="R7" s="12" t="s">
        <v>462</v>
      </c>
      <c r="S7" s="12" t="s">
        <v>463</v>
      </c>
      <c r="T7" s="43" t="s">
        <v>439</v>
      </c>
      <c r="U7" s="37"/>
    </row>
    <row r="8" customFormat="false" ht="32.25" hidden="false" customHeight="true" outlineLevel="0" collapsed="false">
      <c r="A8" s="43" t="s">
        <v>464</v>
      </c>
      <c r="B8" s="43" t="s">
        <v>465</v>
      </c>
      <c r="C8" s="43" t="s">
        <v>466</v>
      </c>
      <c r="D8" s="43" t="s">
        <v>467</v>
      </c>
      <c r="E8" s="12" t="s">
        <v>468</v>
      </c>
      <c r="F8" s="12" t="s">
        <v>459</v>
      </c>
      <c r="G8" s="47" t="s">
        <v>469</v>
      </c>
      <c r="H8" s="47" t="n">
        <v>100</v>
      </c>
      <c r="I8" s="47" t="s">
        <v>422</v>
      </c>
      <c r="J8" s="47" t="s">
        <v>422</v>
      </c>
      <c r="K8" s="11" t="s">
        <v>423</v>
      </c>
      <c r="L8" s="47" t="s">
        <v>424</v>
      </c>
      <c r="M8" s="47" t="s">
        <v>424</v>
      </c>
      <c r="N8" s="47" t="s">
        <v>424</v>
      </c>
      <c r="O8" s="47" t="s">
        <v>425</v>
      </c>
      <c r="P8" s="47" t="s">
        <v>426</v>
      </c>
      <c r="Q8" s="47" t="n">
        <v>2</v>
      </c>
      <c r="R8" s="12" t="s">
        <v>470</v>
      </c>
      <c r="S8" s="12" t="s">
        <v>471</v>
      </c>
      <c r="T8" s="43" t="s">
        <v>439</v>
      </c>
      <c r="U8" s="37"/>
    </row>
    <row r="9" customFormat="false" ht="21.75" hidden="false" customHeight="true" outlineLevel="0" collapsed="false">
      <c r="A9" s="43" t="s">
        <v>472</v>
      </c>
      <c r="B9" s="43" t="s">
        <v>473</v>
      </c>
      <c r="C9" s="43" t="s">
        <v>474</v>
      </c>
      <c r="D9" s="43" t="s">
        <v>475</v>
      </c>
      <c r="E9" s="12" t="s">
        <v>434</v>
      </c>
      <c r="F9" s="12" t="s">
        <v>476</v>
      </c>
      <c r="G9" s="47" t="s">
        <v>477</v>
      </c>
      <c r="H9" s="47" t="n">
        <v>15</v>
      </c>
      <c r="I9" s="47" t="s">
        <v>422</v>
      </c>
      <c r="J9" s="47" t="s">
        <v>461</v>
      </c>
      <c r="K9" s="11" t="s">
        <v>423</v>
      </c>
      <c r="L9" s="47" t="s">
        <v>436</v>
      </c>
      <c r="M9" s="47" t="s">
        <v>424</v>
      </c>
      <c r="N9" s="47" t="s">
        <v>424</v>
      </c>
      <c r="O9" s="47" t="s">
        <v>424</v>
      </c>
      <c r="P9" s="47" t="s">
        <v>426</v>
      </c>
      <c r="Q9" s="47" t="n">
        <v>2</v>
      </c>
      <c r="R9" s="12" t="s">
        <v>478</v>
      </c>
      <c r="S9" s="12" t="s">
        <v>479</v>
      </c>
      <c r="T9" s="43" t="s">
        <v>480</v>
      </c>
      <c r="U9" s="37"/>
    </row>
    <row r="10" customFormat="false" ht="32.25" hidden="false" customHeight="true" outlineLevel="0" collapsed="false">
      <c r="A10" s="43" t="s">
        <v>481</v>
      </c>
      <c r="B10" s="43" t="s">
        <v>482</v>
      </c>
      <c r="C10" s="43" t="s">
        <v>483</v>
      </c>
      <c r="D10" s="43" t="s">
        <v>484</v>
      </c>
      <c r="E10" s="12" t="s">
        <v>485</v>
      </c>
      <c r="F10" s="12" t="s">
        <v>486</v>
      </c>
      <c r="G10" s="47" t="s">
        <v>487</v>
      </c>
      <c r="H10" s="47" t="n">
        <v>25</v>
      </c>
      <c r="I10" s="47" t="s">
        <v>422</v>
      </c>
      <c r="J10" s="47" t="s">
        <v>461</v>
      </c>
      <c r="K10" s="11" t="s">
        <v>423</v>
      </c>
      <c r="L10" s="47" t="s">
        <v>436</v>
      </c>
      <c r="M10" s="47" t="s">
        <v>424</v>
      </c>
      <c r="N10" s="47" t="s">
        <v>424</v>
      </c>
      <c r="O10" s="47" t="s">
        <v>436</v>
      </c>
      <c r="P10" s="47" t="s">
        <v>426</v>
      </c>
      <c r="Q10" s="47" t="n">
        <v>1</v>
      </c>
      <c r="R10" s="12" t="s">
        <v>488</v>
      </c>
      <c r="S10" s="12" t="s">
        <v>489</v>
      </c>
      <c r="T10" s="43" t="s">
        <v>429</v>
      </c>
      <c r="U10" s="37"/>
    </row>
    <row r="11" customFormat="false" ht="32.25" hidden="false" customHeight="true" outlineLevel="0" collapsed="false">
      <c r="A11" s="43" t="s">
        <v>490</v>
      </c>
      <c r="B11" s="43" t="s">
        <v>491</v>
      </c>
      <c r="C11" s="43" t="s">
        <v>492</v>
      </c>
      <c r="D11" s="43" t="s">
        <v>493</v>
      </c>
      <c r="E11" s="12" t="s">
        <v>494</v>
      </c>
      <c r="F11" s="12" t="s">
        <v>476</v>
      </c>
      <c r="G11" s="47" t="s">
        <v>495</v>
      </c>
      <c r="H11" s="47" t="n">
        <v>15</v>
      </c>
      <c r="I11" s="47" t="s">
        <v>421</v>
      </c>
      <c r="J11" s="47" t="s">
        <v>461</v>
      </c>
      <c r="K11" s="11" t="s">
        <v>423</v>
      </c>
      <c r="L11" s="47" t="s">
        <v>436</v>
      </c>
      <c r="M11" s="47" t="s">
        <v>424</v>
      </c>
      <c r="N11" s="47" t="s">
        <v>424</v>
      </c>
      <c r="O11" s="47" t="s">
        <v>424</v>
      </c>
      <c r="P11" s="47" t="s">
        <v>426</v>
      </c>
      <c r="Q11" s="47" t="n">
        <v>1</v>
      </c>
      <c r="R11" s="12" t="s">
        <v>496</v>
      </c>
      <c r="S11" s="12" t="s">
        <v>497</v>
      </c>
      <c r="T11" s="43" t="s">
        <v>498</v>
      </c>
      <c r="U11" s="37"/>
    </row>
    <row r="12" customFormat="false" ht="32.25" hidden="false" customHeight="true" outlineLevel="0" collapsed="false">
      <c r="A12" s="43" t="s">
        <v>499</v>
      </c>
      <c r="B12" s="43" t="s">
        <v>500</v>
      </c>
      <c r="C12" s="43" t="s">
        <v>501</v>
      </c>
      <c r="D12" s="43" t="s">
        <v>502</v>
      </c>
      <c r="E12" s="12" t="s">
        <v>434</v>
      </c>
      <c r="F12" s="12" t="s">
        <v>503</v>
      </c>
      <c r="G12" s="47" t="s">
        <v>504</v>
      </c>
      <c r="H12" s="47" t="n">
        <v>30</v>
      </c>
      <c r="I12" s="47" t="s">
        <v>422</v>
      </c>
      <c r="J12" s="47" t="s">
        <v>461</v>
      </c>
      <c r="K12" s="11" t="s">
        <v>423</v>
      </c>
      <c r="L12" s="47" t="s">
        <v>424</v>
      </c>
      <c r="M12" s="47" t="s">
        <v>424</v>
      </c>
      <c r="N12" s="47" t="s">
        <v>436</v>
      </c>
      <c r="O12" s="47" t="s">
        <v>424</v>
      </c>
      <c r="P12" s="47" t="s">
        <v>426</v>
      </c>
      <c r="Q12" s="47" t="n">
        <v>3</v>
      </c>
      <c r="R12" s="12" t="s">
        <v>505</v>
      </c>
      <c r="S12" s="12" t="s">
        <v>506</v>
      </c>
      <c r="T12" s="43" t="s">
        <v>429</v>
      </c>
      <c r="U12" s="37"/>
    </row>
    <row r="13" customFormat="false" ht="21.75" hidden="false" customHeight="true" outlineLevel="0" collapsed="false">
      <c r="A13" s="43" t="s">
        <v>507</v>
      </c>
      <c r="B13" s="43" t="s">
        <v>508</v>
      </c>
      <c r="C13" s="43" t="s">
        <v>509</v>
      </c>
      <c r="D13" s="43" t="s">
        <v>475</v>
      </c>
      <c r="E13" s="12" t="s">
        <v>510</v>
      </c>
      <c r="F13" s="12" t="s">
        <v>503</v>
      </c>
      <c r="G13" s="47" t="s">
        <v>511</v>
      </c>
      <c r="H13" s="47" t="n">
        <v>30</v>
      </c>
      <c r="I13" s="47" t="s">
        <v>461</v>
      </c>
      <c r="J13" s="47" t="s">
        <v>421</v>
      </c>
      <c r="K13" s="11" t="s">
        <v>423</v>
      </c>
      <c r="L13" s="47" t="s">
        <v>424</v>
      </c>
      <c r="M13" s="47" t="s">
        <v>424</v>
      </c>
      <c r="N13" s="47" t="s">
        <v>436</v>
      </c>
      <c r="O13" s="47" t="s">
        <v>424</v>
      </c>
      <c r="P13" s="47" t="s">
        <v>426</v>
      </c>
      <c r="Q13" s="47" t="n">
        <v>3</v>
      </c>
      <c r="R13" s="12" t="s">
        <v>512</v>
      </c>
      <c r="S13" s="12" t="s">
        <v>513</v>
      </c>
      <c r="T13" s="43" t="s">
        <v>480</v>
      </c>
      <c r="U13" s="37"/>
    </row>
    <row r="14" customFormat="false" ht="32.25" hidden="false" customHeight="true" outlineLevel="0" collapsed="false">
      <c r="A14" s="43" t="s">
        <v>192</v>
      </c>
      <c r="B14" s="43" t="s">
        <v>514</v>
      </c>
      <c r="C14" s="43" t="s">
        <v>515</v>
      </c>
      <c r="D14" s="43" t="s">
        <v>516</v>
      </c>
      <c r="E14" s="12" t="s">
        <v>517</v>
      </c>
      <c r="F14" s="12" t="s">
        <v>503</v>
      </c>
      <c r="G14" s="47" t="s">
        <v>518</v>
      </c>
      <c r="H14" s="47" t="n">
        <v>40</v>
      </c>
      <c r="I14" s="47" t="s">
        <v>422</v>
      </c>
      <c r="J14" s="47" t="s">
        <v>422</v>
      </c>
      <c r="K14" s="11" t="s">
        <v>423</v>
      </c>
      <c r="L14" s="47" t="s">
        <v>424</v>
      </c>
      <c r="M14" s="47" t="s">
        <v>424</v>
      </c>
      <c r="N14" s="47" t="s">
        <v>436</v>
      </c>
      <c r="O14" s="47" t="s">
        <v>425</v>
      </c>
      <c r="P14" s="47" t="s">
        <v>426</v>
      </c>
      <c r="Q14" s="47" t="n">
        <v>1</v>
      </c>
      <c r="R14" s="12" t="s">
        <v>519</v>
      </c>
      <c r="S14" s="12" t="s">
        <v>520</v>
      </c>
      <c r="T14" s="43" t="s">
        <v>429</v>
      </c>
      <c r="U14" s="37"/>
    </row>
    <row r="15" customFormat="false" ht="32.25" hidden="false" customHeight="true" outlineLevel="0" collapsed="false">
      <c r="A15" s="43" t="s">
        <v>521</v>
      </c>
      <c r="B15" s="43" t="s">
        <v>522</v>
      </c>
      <c r="C15" s="43" t="s">
        <v>523</v>
      </c>
      <c r="D15" s="43" t="s">
        <v>524</v>
      </c>
      <c r="E15" s="12" t="s">
        <v>434</v>
      </c>
      <c r="F15" s="12" t="s">
        <v>476</v>
      </c>
      <c r="G15" s="47" t="s">
        <v>525</v>
      </c>
      <c r="H15" s="47" t="n">
        <v>20</v>
      </c>
      <c r="I15" s="47" t="s">
        <v>422</v>
      </c>
      <c r="J15" s="47" t="s">
        <v>422</v>
      </c>
      <c r="K15" s="11" t="s">
        <v>423</v>
      </c>
      <c r="L15" s="47" t="s">
        <v>424</v>
      </c>
      <c r="M15" s="47" t="s">
        <v>424</v>
      </c>
      <c r="N15" s="47" t="s">
        <v>424</v>
      </c>
      <c r="O15" s="47" t="s">
        <v>424</v>
      </c>
      <c r="P15" s="47" t="s">
        <v>426</v>
      </c>
      <c r="Q15" s="47" t="n">
        <v>2</v>
      </c>
      <c r="R15" s="12" t="s">
        <v>526</v>
      </c>
      <c r="S15" s="12" t="s">
        <v>527</v>
      </c>
      <c r="T15" s="43" t="s">
        <v>480</v>
      </c>
      <c r="U15" s="37"/>
    </row>
    <row r="16" customFormat="false" ht="32.25" hidden="false" customHeight="true" outlineLevel="0" collapsed="false">
      <c r="A16" s="43" t="s">
        <v>528</v>
      </c>
      <c r="B16" s="43" t="s">
        <v>529</v>
      </c>
      <c r="C16" s="43" t="s">
        <v>530</v>
      </c>
      <c r="D16" s="43" t="s">
        <v>531</v>
      </c>
      <c r="E16" s="12" t="s">
        <v>532</v>
      </c>
      <c r="F16" s="12" t="s">
        <v>533</v>
      </c>
      <c r="G16" s="47" t="s">
        <v>534</v>
      </c>
      <c r="H16" s="47" t="n">
        <v>8</v>
      </c>
      <c r="I16" s="47" t="s">
        <v>422</v>
      </c>
      <c r="J16" s="47" t="s">
        <v>422</v>
      </c>
      <c r="K16" s="11" t="s">
        <v>423</v>
      </c>
      <c r="L16" s="47" t="s">
        <v>424</v>
      </c>
      <c r="M16" s="47" t="s">
        <v>424</v>
      </c>
      <c r="N16" s="47" t="s">
        <v>424</v>
      </c>
      <c r="O16" s="47" t="s">
        <v>424</v>
      </c>
      <c r="P16" s="47" t="s">
        <v>426</v>
      </c>
      <c r="Q16" s="47" t="n">
        <v>1</v>
      </c>
      <c r="R16" s="12" t="s">
        <v>535</v>
      </c>
      <c r="S16" s="12" t="s">
        <v>536</v>
      </c>
      <c r="T16" s="43" t="s">
        <v>439</v>
      </c>
      <c r="U16" s="37"/>
    </row>
    <row r="17" customFormat="false" ht="21.75" hidden="false" customHeight="true" outlineLevel="0" collapsed="false">
      <c r="A17" s="43" t="s">
        <v>537</v>
      </c>
      <c r="B17" s="43" t="s">
        <v>538</v>
      </c>
      <c r="C17" s="43" t="s">
        <v>539</v>
      </c>
      <c r="D17" s="43" t="s">
        <v>540</v>
      </c>
      <c r="E17" s="12" t="s">
        <v>541</v>
      </c>
      <c r="F17" s="12" t="s">
        <v>542</v>
      </c>
      <c r="G17" s="47" t="s">
        <v>543</v>
      </c>
      <c r="H17" s="47" t="n">
        <v>12</v>
      </c>
      <c r="I17" s="47" t="s">
        <v>461</v>
      </c>
      <c r="J17" s="47" t="s">
        <v>421</v>
      </c>
      <c r="K17" s="11" t="s">
        <v>423</v>
      </c>
      <c r="L17" s="47" t="s">
        <v>424</v>
      </c>
      <c r="M17" s="47" t="s">
        <v>424</v>
      </c>
      <c r="N17" s="47" t="s">
        <v>436</v>
      </c>
      <c r="O17" s="47" t="s">
        <v>424</v>
      </c>
      <c r="P17" s="47" t="s">
        <v>426</v>
      </c>
      <c r="Q17" s="47" t="n">
        <v>1</v>
      </c>
      <c r="R17" s="12" t="s">
        <v>544</v>
      </c>
      <c r="S17" s="12" t="s">
        <v>545</v>
      </c>
      <c r="T17" s="43" t="s">
        <v>480</v>
      </c>
      <c r="U17" s="37"/>
    </row>
    <row r="18" customFormat="false" ht="21.75" hidden="false" customHeight="true" outlineLevel="0" collapsed="false">
      <c r="A18" s="43" t="s">
        <v>546</v>
      </c>
      <c r="B18" s="43" t="s">
        <v>547</v>
      </c>
      <c r="C18" s="43" t="s">
        <v>548</v>
      </c>
      <c r="D18" s="43" t="s">
        <v>549</v>
      </c>
      <c r="E18" s="12" t="s">
        <v>550</v>
      </c>
      <c r="F18" s="12" t="s">
        <v>551</v>
      </c>
      <c r="G18" s="47" t="s">
        <v>552</v>
      </c>
      <c r="H18" s="47" t="n">
        <v>20</v>
      </c>
      <c r="I18" s="47" t="s">
        <v>422</v>
      </c>
      <c r="J18" s="47" t="s">
        <v>422</v>
      </c>
      <c r="K18" s="11" t="s">
        <v>423</v>
      </c>
      <c r="L18" s="47" t="s">
        <v>436</v>
      </c>
      <c r="M18" s="47" t="s">
        <v>424</v>
      </c>
      <c r="N18" s="47" t="s">
        <v>424</v>
      </c>
      <c r="O18" s="47" t="s">
        <v>424</v>
      </c>
      <c r="P18" s="47" t="s">
        <v>426</v>
      </c>
      <c r="Q18" s="47" t="n">
        <v>2</v>
      </c>
      <c r="R18" s="12" t="s">
        <v>553</v>
      </c>
      <c r="S18" s="12" t="s">
        <v>554</v>
      </c>
      <c r="T18" s="43" t="s">
        <v>480</v>
      </c>
      <c r="U18" s="37"/>
    </row>
    <row r="19" customFormat="false" ht="32.25" hidden="false" customHeight="true" outlineLevel="0" collapsed="false">
      <c r="A19" s="43" t="s">
        <v>555</v>
      </c>
      <c r="B19" s="43" t="s">
        <v>556</v>
      </c>
      <c r="C19" s="43" t="s">
        <v>557</v>
      </c>
      <c r="D19" s="43" t="s">
        <v>558</v>
      </c>
      <c r="E19" s="12" t="s">
        <v>559</v>
      </c>
      <c r="F19" s="12" t="s">
        <v>533</v>
      </c>
      <c r="G19" s="47" t="s">
        <v>560</v>
      </c>
      <c r="H19" s="47" t="n">
        <v>8</v>
      </c>
      <c r="I19" s="47" t="s">
        <v>422</v>
      </c>
      <c r="J19" s="47" t="s">
        <v>461</v>
      </c>
      <c r="K19" s="11" t="s">
        <v>423</v>
      </c>
      <c r="L19" s="47" t="s">
        <v>436</v>
      </c>
      <c r="M19" s="47" t="s">
        <v>424</v>
      </c>
      <c r="N19" s="47" t="s">
        <v>424</v>
      </c>
      <c r="O19" s="47" t="s">
        <v>424</v>
      </c>
      <c r="P19" s="47" t="s">
        <v>426</v>
      </c>
      <c r="Q19" s="47" t="n">
        <v>2</v>
      </c>
      <c r="R19" s="12" t="s">
        <v>561</v>
      </c>
      <c r="S19" s="12" t="s">
        <v>562</v>
      </c>
      <c r="T19" s="43" t="s">
        <v>498</v>
      </c>
      <c r="U19" s="37"/>
    </row>
    <row r="20" customFormat="false" ht="21.75" hidden="false" customHeight="true" outlineLevel="0" collapsed="false">
      <c r="A20" s="43" t="s">
        <v>563</v>
      </c>
      <c r="B20" s="43" t="s">
        <v>564</v>
      </c>
      <c r="C20" s="43" t="s">
        <v>565</v>
      </c>
      <c r="D20" s="43" t="s">
        <v>566</v>
      </c>
      <c r="E20" s="12" t="s">
        <v>567</v>
      </c>
      <c r="F20" s="12" t="s">
        <v>533</v>
      </c>
      <c r="G20" s="47" t="s">
        <v>568</v>
      </c>
      <c r="H20" s="47" t="n">
        <v>15</v>
      </c>
      <c r="I20" s="47" t="s">
        <v>422</v>
      </c>
      <c r="J20" s="47" t="s">
        <v>461</v>
      </c>
      <c r="K20" s="11" t="s">
        <v>423</v>
      </c>
      <c r="L20" s="47" t="s">
        <v>436</v>
      </c>
      <c r="M20" s="47" t="s">
        <v>424</v>
      </c>
      <c r="N20" s="47" t="s">
        <v>424</v>
      </c>
      <c r="O20" s="47" t="s">
        <v>424</v>
      </c>
      <c r="P20" s="47" t="s">
        <v>569</v>
      </c>
      <c r="Q20" s="47" t="n">
        <v>2</v>
      </c>
      <c r="R20" s="12" t="s">
        <v>570</v>
      </c>
      <c r="S20" s="12" t="s">
        <v>571</v>
      </c>
      <c r="T20" s="43" t="s">
        <v>498</v>
      </c>
      <c r="U20" s="37"/>
    </row>
    <row r="21" customFormat="false" ht="32.25" hidden="false" customHeight="true" outlineLevel="0" collapsed="false">
      <c r="A21" s="43" t="s">
        <v>572</v>
      </c>
      <c r="B21" s="43" t="s">
        <v>573</v>
      </c>
      <c r="C21" s="43" t="s">
        <v>574</v>
      </c>
      <c r="D21" s="43" t="s">
        <v>475</v>
      </c>
      <c r="E21" s="12" t="s">
        <v>434</v>
      </c>
      <c r="F21" s="12" t="s">
        <v>542</v>
      </c>
      <c r="G21" s="47" t="s">
        <v>575</v>
      </c>
      <c r="H21" s="47" t="n">
        <v>15</v>
      </c>
      <c r="I21" s="47" t="s">
        <v>422</v>
      </c>
      <c r="J21" s="47" t="s">
        <v>422</v>
      </c>
      <c r="K21" s="11" t="s">
        <v>423</v>
      </c>
      <c r="L21" s="47" t="s">
        <v>424</v>
      </c>
      <c r="M21" s="47" t="s">
        <v>424</v>
      </c>
      <c r="N21" s="47" t="s">
        <v>424</v>
      </c>
      <c r="O21" s="47" t="s">
        <v>424</v>
      </c>
      <c r="P21" s="47" t="s">
        <v>426</v>
      </c>
      <c r="Q21" s="47" t="n">
        <v>2</v>
      </c>
      <c r="R21" s="12" t="s">
        <v>576</v>
      </c>
      <c r="S21" s="12" t="s">
        <v>577</v>
      </c>
      <c r="T21" s="43" t="s">
        <v>439</v>
      </c>
      <c r="U21" s="37"/>
    </row>
    <row r="22" customFormat="false" ht="21.75" hidden="false" customHeight="true" outlineLevel="0" collapsed="false">
      <c r="A22" s="43" t="s">
        <v>578</v>
      </c>
      <c r="B22" s="43" t="s">
        <v>579</v>
      </c>
      <c r="C22" s="43" t="s">
        <v>580</v>
      </c>
      <c r="D22" s="43" t="s">
        <v>581</v>
      </c>
      <c r="E22" s="12" t="s">
        <v>434</v>
      </c>
      <c r="F22" s="12" t="s">
        <v>542</v>
      </c>
      <c r="G22" s="47" t="s">
        <v>582</v>
      </c>
      <c r="H22" s="47" t="n">
        <v>10</v>
      </c>
      <c r="I22" s="47" t="s">
        <v>461</v>
      </c>
      <c r="J22" s="47" t="s">
        <v>421</v>
      </c>
      <c r="K22" s="11" t="s">
        <v>423</v>
      </c>
      <c r="L22" s="47" t="s">
        <v>424</v>
      </c>
      <c r="M22" s="47" t="s">
        <v>424</v>
      </c>
      <c r="N22" s="47" t="s">
        <v>425</v>
      </c>
      <c r="O22" s="47" t="s">
        <v>424</v>
      </c>
      <c r="P22" s="47" t="s">
        <v>426</v>
      </c>
      <c r="Q22" s="47" t="n">
        <v>2</v>
      </c>
      <c r="R22" s="12" t="s">
        <v>576</v>
      </c>
      <c r="S22" s="12" t="s">
        <v>583</v>
      </c>
      <c r="T22" s="43" t="s">
        <v>480</v>
      </c>
      <c r="U22" s="37"/>
    </row>
    <row r="23" customFormat="false" ht="21.75" hidden="false" customHeight="true" outlineLevel="0" collapsed="false">
      <c r="A23" s="43" t="s">
        <v>584</v>
      </c>
      <c r="B23" s="43" t="s">
        <v>585</v>
      </c>
      <c r="C23" s="43" t="s">
        <v>586</v>
      </c>
      <c r="D23" s="43" t="s">
        <v>587</v>
      </c>
      <c r="E23" s="12" t="s">
        <v>588</v>
      </c>
      <c r="F23" s="12" t="s">
        <v>533</v>
      </c>
      <c r="G23" s="47" t="s">
        <v>589</v>
      </c>
      <c r="H23" s="47" t="n">
        <v>25</v>
      </c>
      <c r="I23" s="47" t="s">
        <v>422</v>
      </c>
      <c r="J23" s="47" t="s">
        <v>422</v>
      </c>
      <c r="K23" s="11" t="s">
        <v>423</v>
      </c>
      <c r="L23" s="47" t="s">
        <v>424</v>
      </c>
      <c r="M23" s="47" t="s">
        <v>424</v>
      </c>
      <c r="N23" s="47" t="s">
        <v>424</v>
      </c>
      <c r="O23" s="47" t="s">
        <v>424</v>
      </c>
      <c r="P23" s="47" t="s">
        <v>426</v>
      </c>
      <c r="Q23" s="47" t="n">
        <v>1</v>
      </c>
      <c r="R23" s="12" t="s">
        <v>561</v>
      </c>
      <c r="S23" s="12" t="s">
        <v>590</v>
      </c>
      <c r="T23" s="43" t="s">
        <v>439</v>
      </c>
      <c r="U23" s="37"/>
    </row>
    <row r="24" customFormat="false" ht="32.25" hidden="false" customHeight="true" outlineLevel="0" collapsed="false">
      <c r="A24" s="43" t="s">
        <v>591</v>
      </c>
      <c r="B24" s="43" t="s">
        <v>592</v>
      </c>
      <c r="C24" s="43" t="s">
        <v>593</v>
      </c>
      <c r="D24" s="43" t="s">
        <v>475</v>
      </c>
      <c r="E24" s="12" t="s">
        <v>434</v>
      </c>
      <c r="F24" s="12" t="s">
        <v>542</v>
      </c>
      <c r="G24" s="47" t="s">
        <v>594</v>
      </c>
      <c r="H24" s="47" t="n">
        <v>15</v>
      </c>
      <c r="I24" s="47" t="s">
        <v>422</v>
      </c>
      <c r="J24" s="47" t="s">
        <v>422</v>
      </c>
      <c r="K24" s="11" t="s">
        <v>423</v>
      </c>
      <c r="L24" s="47" t="s">
        <v>424</v>
      </c>
      <c r="M24" s="47" t="s">
        <v>424</v>
      </c>
      <c r="N24" s="47" t="s">
        <v>436</v>
      </c>
      <c r="O24" s="47" t="s">
        <v>424</v>
      </c>
      <c r="P24" s="47" t="s">
        <v>426</v>
      </c>
      <c r="Q24" s="47" t="n">
        <v>2</v>
      </c>
      <c r="R24" s="12" t="s">
        <v>576</v>
      </c>
      <c r="S24" s="12" t="s">
        <v>595</v>
      </c>
      <c r="T24" s="43" t="s">
        <v>480</v>
      </c>
      <c r="U24" s="37"/>
    </row>
    <row r="25" customFormat="false" ht="32.25" hidden="false" customHeight="true" outlineLevel="0" collapsed="false">
      <c r="A25" s="43" t="s">
        <v>182</v>
      </c>
      <c r="B25" s="43" t="s">
        <v>596</v>
      </c>
      <c r="C25" s="43" t="s">
        <v>597</v>
      </c>
      <c r="D25" s="43" t="s">
        <v>598</v>
      </c>
      <c r="E25" s="12" t="s">
        <v>434</v>
      </c>
      <c r="F25" s="12" t="s">
        <v>533</v>
      </c>
      <c r="G25" s="47" t="s">
        <v>560</v>
      </c>
      <c r="H25" s="47" t="n">
        <v>8</v>
      </c>
      <c r="I25" s="47" t="s">
        <v>422</v>
      </c>
      <c r="J25" s="47" t="s">
        <v>461</v>
      </c>
      <c r="K25" s="11" t="s">
        <v>423</v>
      </c>
      <c r="L25" s="47" t="s">
        <v>436</v>
      </c>
      <c r="M25" s="47" t="s">
        <v>424</v>
      </c>
      <c r="N25" s="47" t="s">
        <v>424</v>
      </c>
      <c r="O25" s="47" t="s">
        <v>424</v>
      </c>
      <c r="P25" s="47" t="s">
        <v>426</v>
      </c>
      <c r="Q25" s="47" t="n">
        <v>2</v>
      </c>
      <c r="R25" s="12" t="s">
        <v>599</v>
      </c>
      <c r="S25" s="12" t="s">
        <v>600</v>
      </c>
      <c r="T25" s="43" t="s">
        <v>498</v>
      </c>
      <c r="U25" s="37"/>
    </row>
    <row r="26" customFormat="false" ht="21.75" hidden="false" customHeight="true" outlineLevel="0" collapsed="false">
      <c r="A26" s="43" t="s">
        <v>189</v>
      </c>
      <c r="B26" s="43" t="s">
        <v>601</v>
      </c>
      <c r="C26" s="43" t="s">
        <v>597</v>
      </c>
      <c r="D26" s="43" t="s">
        <v>598</v>
      </c>
      <c r="E26" s="12" t="s">
        <v>602</v>
      </c>
      <c r="F26" s="12" t="s">
        <v>533</v>
      </c>
      <c r="G26" s="47" t="s">
        <v>603</v>
      </c>
      <c r="H26" s="47" t="n">
        <v>10</v>
      </c>
      <c r="I26" s="47" t="s">
        <v>422</v>
      </c>
      <c r="J26" s="47" t="s">
        <v>461</v>
      </c>
      <c r="K26" s="11" t="s">
        <v>423</v>
      </c>
      <c r="L26" s="47" t="s">
        <v>436</v>
      </c>
      <c r="M26" s="47" t="s">
        <v>424</v>
      </c>
      <c r="N26" s="47" t="s">
        <v>424</v>
      </c>
      <c r="O26" s="47" t="s">
        <v>424</v>
      </c>
      <c r="P26" s="47" t="s">
        <v>426</v>
      </c>
      <c r="Q26" s="47" t="n">
        <v>2</v>
      </c>
      <c r="R26" s="12" t="s">
        <v>561</v>
      </c>
      <c r="S26" s="12" t="s">
        <v>604</v>
      </c>
      <c r="T26" s="43" t="s">
        <v>498</v>
      </c>
      <c r="U26" s="37"/>
    </row>
    <row r="27" customFormat="false" ht="21.75" hidden="false" customHeight="true" outlineLevel="0" collapsed="false">
      <c r="A27" s="43" t="s">
        <v>605</v>
      </c>
      <c r="B27" s="43" t="s">
        <v>606</v>
      </c>
      <c r="C27" s="43" t="s">
        <v>607</v>
      </c>
      <c r="D27" s="43" t="s">
        <v>475</v>
      </c>
      <c r="E27" s="12" t="s">
        <v>434</v>
      </c>
      <c r="F27" s="12" t="s">
        <v>542</v>
      </c>
      <c r="G27" s="47" t="s">
        <v>608</v>
      </c>
      <c r="H27" s="47" t="n">
        <v>12</v>
      </c>
      <c r="I27" s="47" t="s">
        <v>461</v>
      </c>
      <c r="J27" s="47" t="s">
        <v>422</v>
      </c>
      <c r="K27" s="11" t="s">
        <v>423</v>
      </c>
      <c r="L27" s="47" t="s">
        <v>424</v>
      </c>
      <c r="M27" s="47" t="s">
        <v>424</v>
      </c>
      <c r="N27" s="47" t="s">
        <v>436</v>
      </c>
      <c r="O27" s="47" t="s">
        <v>424</v>
      </c>
      <c r="P27" s="47" t="s">
        <v>426</v>
      </c>
      <c r="Q27" s="47" t="n">
        <v>2</v>
      </c>
      <c r="R27" s="12" t="s">
        <v>609</v>
      </c>
      <c r="S27" s="12" t="s">
        <v>610</v>
      </c>
      <c r="T27" s="43" t="s">
        <v>480</v>
      </c>
      <c r="U27" s="37"/>
    </row>
    <row r="28" customFormat="false" ht="42.75" hidden="false" customHeight="true" outlineLevel="0" collapsed="false">
      <c r="A28" s="43" t="s">
        <v>611</v>
      </c>
      <c r="B28" s="43" t="s">
        <v>612</v>
      </c>
      <c r="C28" s="43" t="s">
        <v>613</v>
      </c>
      <c r="D28" s="43" t="s">
        <v>614</v>
      </c>
      <c r="E28" s="12" t="s">
        <v>615</v>
      </c>
      <c r="F28" s="12" t="s">
        <v>542</v>
      </c>
      <c r="G28" s="47" t="s">
        <v>616</v>
      </c>
      <c r="H28" s="47" t="n">
        <v>10</v>
      </c>
      <c r="I28" s="47" t="s">
        <v>422</v>
      </c>
      <c r="J28" s="47" t="s">
        <v>422</v>
      </c>
      <c r="K28" s="11" t="s">
        <v>423</v>
      </c>
      <c r="L28" s="47" t="s">
        <v>424</v>
      </c>
      <c r="M28" s="47" t="s">
        <v>424</v>
      </c>
      <c r="N28" s="47" t="s">
        <v>424</v>
      </c>
      <c r="O28" s="47" t="s">
        <v>424</v>
      </c>
      <c r="P28" s="47" t="s">
        <v>426</v>
      </c>
      <c r="Q28" s="47" t="n">
        <v>1</v>
      </c>
      <c r="R28" s="12" t="s">
        <v>617</v>
      </c>
      <c r="S28" s="12" t="s">
        <v>618</v>
      </c>
      <c r="T28" s="43" t="s">
        <v>439</v>
      </c>
      <c r="U28" s="37"/>
    </row>
    <row r="29" customFormat="false" ht="21.75" hidden="false" customHeight="true" outlineLevel="0" collapsed="false">
      <c r="A29" s="43" t="s">
        <v>619</v>
      </c>
      <c r="B29" s="43" t="s">
        <v>620</v>
      </c>
      <c r="C29" s="43" t="s">
        <v>621</v>
      </c>
      <c r="D29" s="43" t="s">
        <v>475</v>
      </c>
      <c r="E29" s="12" t="s">
        <v>434</v>
      </c>
      <c r="F29" s="12" t="s">
        <v>542</v>
      </c>
      <c r="G29" s="47" t="s">
        <v>560</v>
      </c>
      <c r="H29" s="47" t="n">
        <v>8</v>
      </c>
      <c r="I29" s="47" t="s">
        <v>422</v>
      </c>
      <c r="J29" s="47" t="s">
        <v>422</v>
      </c>
      <c r="K29" s="11" t="s">
        <v>423</v>
      </c>
      <c r="L29" s="47" t="s">
        <v>424</v>
      </c>
      <c r="M29" s="47" t="s">
        <v>424</v>
      </c>
      <c r="N29" s="47" t="s">
        <v>424</v>
      </c>
      <c r="O29" s="47" t="s">
        <v>424</v>
      </c>
      <c r="P29" s="47" t="s">
        <v>426</v>
      </c>
      <c r="Q29" s="47" t="n">
        <v>1</v>
      </c>
      <c r="R29" s="12" t="s">
        <v>622</v>
      </c>
      <c r="S29" s="12" t="s">
        <v>623</v>
      </c>
      <c r="T29" s="43" t="s">
        <v>480</v>
      </c>
      <c r="U29" s="37"/>
    </row>
    <row r="30" customFormat="false" ht="21.75" hidden="false" customHeight="true" outlineLevel="0" collapsed="false">
      <c r="A30" s="43" t="s">
        <v>624</v>
      </c>
      <c r="B30" s="43" t="s">
        <v>625</v>
      </c>
      <c r="C30" s="43" t="s">
        <v>626</v>
      </c>
      <c r="D30" s="43" t="s">
        <v>475</v>
      </c>
      <c r="E30" s="12" t="s">
        <v>434</v>
      </c>
      <c r="F30" s="12" t="s">
        <v>627</v>
      </c>
      <c r="G30" s="47" t="s">
        <v>628</v>
      </c>
      <c r="H30" s="47" t="n">
        <v>7</v>
      </c>
      <c r="I30" s="47" t="s">
        <v>461</v>
      </c>
      <c r="J30" s="47" t="s">
        <v>421</v>
      </c>
      <c r="K30" s="11" t="s">
        <v>423</v>
      </c>
      <c r="L30" s="47" t="s">
        <v>424</v>
      </c>
      <c r="M30" s="47" t="s">
        <v>424</v>
      </c>
      <c r="N30" s="47" t="s">
        <v>425</v>
      </c>
      <c r="O30" s="47" t="s">
        <v>424</v>
      </c>
      <c r="P30" s="47" t="s">
        <v>426</v>
      </c>
      <c r="Q30" s="47" t="n">
        <v>1</v>
      </c>
      <c r="R30" s="12" t="s">
        <v>576</v>
      </c>
      <c r="S30" s="12" t="s">
        <v>629</v>
      </c>
      <c r="T30" s="43" t="s">
        <v>480</v>
      </c>
      <c r="U30" s="37"/>
    </row>
    <row r="31" customFormat="false" ht="32.25" hidden="false" customHeight="true" outlineLevel="0" collapsed="false">
      <c r="A31" s="43" t="s">
        <v>630</v>
      </c>
      <c r="B31" s="43" t="s">
        <v>631</v>
      </c>
      <c r="C31" s="43" t="s">
        <v>632</v>
      </c>
      <c r="D31" s="43" t="s">
        <v>581</v>
      </c>
      <c r="E31" s="12" t="s">
        <v>434</v>
      </c>
      <c r="F31" s="12" t="s">
        <v>542</v>
      </c>
      <c r="G31" s="47" t="s">
        <v>633</v>
      </c>
      <c r="H31" s="47" t="n">
        <v>6</v>
      </c>
      <c r="I31" s="47" t="s">
        <v>422</v>
      </c>
      <c r="J31" s="47" t="s">
        <v>422</v>
      </c>
      <c r="K31" s="11" t="s">
        <v>423</v>
      </c>
      <c r="L31" s="47" t="s">
        <v>424</v>
      </c>
      <c r="M31" s="47" t="s">
        <v>424</v>
      </c>
      <c r="N31" s="47" t="s">
        <v>424</v>
      </c>
      <c r="O31" s="47" t="s">
        <v>424</v>
      </c>
      <c r="P31" s="47" t="s">
        <v>426</v>
      </c>
      <c r="Q31" s="47" t="n">
        <v>1</v>
      </c>
      <c r="R31" s="12" t="s">
        <v>576</v>
      </c>
      <c r="S31" s="12" t="s">
        <v>634</v>
      </c>
      <c r="T31" s="43" t="s">
        <v>439</v>
      </c>
      <c r="U31" s="37"/>
    </row>
    <row r="32" customFormat="false" ht="32.25" hidden="false" customHeight="true" outlineLevel="0" collapsed="false">
      <c r="A32" s="43" t="s">
        <v>635</v>
      </c>
      <c r="B32" s="43" t="s">
        <v>636</v>
      </c>
      <c r="C32" s="43" t="s">
        <v>637</v>
      </c>
      <c r="D32" s="43" t="s">
        <v>493</v>
      </c>
      <c r="E32" s="12" t="s">
        <v>638</v>
      </c>
      <c r="F32" s="12" t="s">
        <v>419</v>
      </c>
      <c r="G32" s="47" t="s">
        <v>639</v>
      </c>
      <c r="H32" s="47" t="n">
        <v>50</v>
      </c>
      <c r="I32" s="47" t="s">
        <v>422</v>
      </c>
      <c r="J32" s="47" t="s">
        <v>640</v>
      </c>
      <c r="K32" s="48" t="s">
        <v>641</v>
      </c>
      <c r="L32" s="47" t="s">
        <v>425</v>
      </c>
      <c r="M32" s="47" t="s">
        <v>424</v>
      </c>
      <c r="N32" s="47" t="s">
        <v>424</v>
      </c>
      <c r="O32" s="47" t="s">
        <v>425</v>
      </c>
      <c r="P32" s="47" t="s">
        <v>426</v>
      </c>
      <c r="Q32" s="47" t="n">
        <v>2</v>
      </c>
      <c r="R32" s="12" t="s">
        <v>496</v>
      </c>
      <c r="S32" s="12" t="s">
        <v>642</v>
      </c>
      <c r="T32" s="43" t="s">
        <v>429</v>
      </c>
      <c r="U32" s="37"/>
    </row>
    <row r="33" customFormat="false" ht="42.75" hidden="false" customHeight="true" outlineLevel="0" collapsed="false">
      <c r="A33" s="43" t="s">
        <v>643</v>
      </c>
      <c r="B33" s="43" t="s">
        <v>644</v>
      </c>
      <c r="C33" s="43" t="s">
        <v>432</v>
      </c>
      <c r="D33" s="43" t="s">
        <v>433</v>
      </c>
      <c r="E33" s="12" t="s">
        <v>645</v>
      </c>
      <c r="F33" s="12" t="s">
        <v>419</v>
      </c>
      <c r="G33" s="47" t="s">
        <v>646</v>
      </c>
      <c r="H33" s="47" t="n">
        <v>80</v>
      </c>
      <c r="I33" s="47" t="s">
        <v>422</v>
      </c>
      <c r="J33" s="47" t="s">
        <v>640</v>
      </c>
      <c r="K33" s="48" t="s">
        <v>641</v>
      </c>
      <c r="L33" s="47" t="s">
        <v>425</v>
      </c>
      <c r="M33" s="47" t="s">
        <v>436</v>
      </c>
      <c r="N33" s="47" t="s">
        <v>424</v>
      </c>
      <c r="O33" s="47" t="s">
        <v>425</v>
      </c>
      <c r="P33" s="47" t="s">
        <v>569</v>
      </c>
      <c r="Q33" s="47" t="n">
        <v>4</v>
      </c>
      <c r="R33" s="12" t="s">
        <v>647</v>
      </c>
      <c r="S33" s="12" t="s">
        <v>648</v>
      </c>
      <c r="T33" s="43" t="s">
        <v>429</v>
      </c>
      <c r="U33" s="37" t="n">
        <v>46447</v>
      </c>
    </row>
    <row r="34" customFormat="false" ht="32.25" hidden="false" customHeight="true" outlineLevel="0" collapsed="false">
      <c r="A34" s="43" t="s">
        <v>649</v>
      </c>
      <c r="B34" s="43" t="s">
        <v>650</v>
      </c>
      <c r="C34" s="43" t="s">
        <v>432</v>
      </c>
      <c r="D34" s="43" t="s">
        <v>433</v>
      </c>
      <c r="E34" s="12" t="s">
        <v>434</v>
      </c>
      <c r="F34" s="12" t="s">
        <v>651</v>
      </c>
      <c r="G34" s="47" t="s">
        <v>652</v>
      </c>
      <c r="H34" s="47" t="n">
        <v>60</v>
      </c>
      <c r="I34" s="47" t="s">
        <v>422</v>
      </c>
      <c r="J34" s="47" t="s">
        <v>640</v>
      </c>
      <c r="K34" s="48" t="s">
        <v>641</v>
      </c>
      <c r="L34" s="47" t="s">
        <v>425</v>
      </c>
      <c r="M34" s="47" t="s">
        <v>436</v>
      </c>
      <c r="N34" s="47" t="s">
        <v>424</v>
      </c>
      <c r="O34" s="47" t="s">
        <v>425</v>
      </c>
      <c r="P34" s="47" t="s">
        <v>569</v>
      </c>
      <c r="Q34" s="47" t="n">
        <v>5</v>
      </c>
      <c r="R34" s="12" t="s">
        <v>561</v>
      </c>
      <c r="S34" s="12" t="s">
        <v>653</v>
      </c>
      <c r="T34" s="43" t="s">
        <v>429</v>
      </c>
      <c r="U34" s="37"/>
    </row>
    <row r="35" customFormat="false" ht="53.25" hidden="false" customHeight="true" outlineLevel="0" collapsed="false">
      <c r="A35" s="43" t="s">
        <v>654</v>
      </c>
      <c r="B35" s="43" t="s">
        <v>655</v>
      </c>
      <c r="C35" s="43" t="s">
        <v>656</v>
      </c>
      <c r="D35" s="43" t="s">
        <v>657</v>
      </c>
      <c r="E35" s="12" t="s">
        <v>658</v>
      </c>
      <c r="F35" s="12" t="s">
        <v>419</v>
      </c>
      <c r="G35" s="47" t="s">
        <v>659</v>
      </c>
      <c r="H35" s="47" t="n">
        <v>70</v>
      </c>
      <c r="I35" s="47" t="s">
        <v>422</v>
      </c>
      <c r="J35" s="47" t="s">
        <v>422</v>
      </c>
      <c r="K35" s="48" t="s">
        <v>641</v>
      </c>
      <c r="L35" s="47" t="s">
        <v>436</v>
      </c>
      <c r="M35" s="47" t="s">
        <v>424</v>
      </c>
      <c r="N35" s="47" t="s">
        <v>425</v>
      </c>
      <c r="O35" s="47" t="s">
        <v>425</v>
      </c>
      <c r="P35" s="47" t="s">
        <v>426</v>
      </c>
      <c r="Q35" s="47" t="n">
        <v>2</v>
      </c>
      <c r="R35" s="12" t="s">
        <v>660</v>
      </c>
      <c r="S35" s="12" t="s">
        <v>661</v>
      </c>
      <c r="T35" s="43" t="s">
        <v>429</v>
      </c>
      <c r="U35" s="37" t="n">
        <v>46569</v>
      </c>
    </row>
    <row r="36" customFormat="false" ht="32.25" hidden="false" customHeight="true" outlineLevel="0" collapsed="false">
      <c r="A36" s="43" t="s">
        <v>662</v>
      </c>
      <c r="B36" s="43" t="s">
        <v>663</v>
      </c>
      <c r="C36" s="43" t="s">
        <v>664</v>
      </c>
      <c r="D36" s="43" t="s">
        <v>458</v>
      </c>
      <c r="E36" s="12" t="s">
        <v>665</v>
      </c>
      <c r="F36" s="12" t="s">
        <v>459</v>
      </c>
      <c r="G36" s="47" t="s">
        <v>666</v>
      </c>
      <c r="H36" s="47" t="n">
        <v>50</v>
      </c>
      <c r="I36" s="47" t="s">
        <v>421</v>
      </c>
      <c r="J36" s="47" t="s">
        <v>640</v>
      </c>
      <c r="K36" s="48" t="s">
        <v>641</v>
      </c>
      <c r="L36" s="47" t="s">
        <v>425</v>
      </c>
      <c r="M36" s="47" t="s">
        <v>436</v>
      </c>
      <c r="N36" s="47" t="s">
        <v>424</v>
      </c>
      <c r="O36" s="47" t="s">
        <v>425</v>
      </c>
      <c r="P36" s="47" t="s">
        <v>569</v>
      </c>
      <c r="Q36" s="47" t="n">
        <v>2</v>
      </c>
      <c r="R36" s="12" t="s">
        <v>667</v>
      </c>
      <c r="S36" s="12" t="s">
        <v>668</v>
      </c>
      <c r="T36" s="43" t="s">
        <v>429</v>
      </c>
      <c r="U36" s="37"/>
    </row>
    <row r="37" customFormat="false" ht="21.75" hidden="false" customHeight="true" outlineLevel="0" collapsed="false">
      <c r="A37" s="43" t="s">
        <v>669</v>
      </c>
      <c r="B37" s="43" t="s">
        <v>670</v>
      </c>
      <c r="C37" s="43" t="s">
        <v>671</v>
      </c>
      <c r="D37" s="43" t="s">
        <v>672</v>
      </c>
      <c r="E37" s="12" t="s">
        <v>673</v>
      </c>
      <c r="F37" s="12" t="s">
        <v>476</v>
      </c>
      <c r="G37" s="47" t="s">
        <v>674</v>
      </c>
      <c r="H37" s="47" t="n">
        <v>25</v>
      </c>
      <c r="I37" s="47" t="s">
        <v>461</v>
      </c>
      <c r="J37" s="47" t="s">
        <v>421</v>
      </c>
      <c r="K37" s="48" t="s">
        <v>641</v>
      </c>
      <c r="L37" s="47" t="s">
        <v>424</v>
      </c>
      <c r="M37" s="47" t="s">
        <v>436</v>
      </c>
      <c r="N37" s="47" t="s">
        <v>425</v>
      </c>
      <c r="O37" s="47" t="s">
        <v>425</v>
      </c>
      <c r="P37" s="47" t="s">
        <v>426</v>
      </c>
      <c r="Q37" s="47" t="n">
        <v>1</v>
      </c>
      <c r="R37" s="12" t="s">
        <v>675</v>
      </c>
      <c r="S37" s="12" t="s">
        <v>676</v>
      </c>
      <c r="T37" s="43" t="s">
        <v>480</v>
      </c>
      <c r="U37" s="37"/>
    </row>
    <row r="38" customFormat="false" ht="21.75" hidden="false" customHeight="true" outlineLevel="0" collapsed="false">
      <c r="A38" s="43" t="s">
        <v>677</v>
      </c>
      <c r="B38" s="43" t="s">
        <v>678</v>
      </c>
      <c r="C38" s="43" t="s">
        <v>679</v>
      </c>
      <c r="D38" s="43" t="s">
        <v>484</v>
      </c>
      <c r="E38" s="12" t="s">
        <v>680</v>
      </c>
      <c r="F38" s="12" t="s">
        <v>681</v>
      </c>
      <c r="G38" s="47" t="s">
        <v>682</v>
      </c>
      <c r="H38" s="47" t="n">
        <v>7</v>
      </c>
      <c r="I38" s="47" t="s">
        <v>421</v>
      </c>
      <c r="J38" s="47" t="s">
        <v>640</v>
      </c>
      <c r="K38" s="48" t="s">
        <v>641</v>
      </c>
      <c r="L38" s="47" t="s">
        <v>425</v>
      </c>
      <c r="M38" s="47" t="s">
        <v>436</v>
      </c>
      <c r="N38" s="47" t="s">
        <v>424</v>
      </c>
      <c r="O38" s="47" t="s">
        <v>424</v>
      </c>
      <c r="P38" s="47" t="s">
        <v>569</v>
      </c>
      <c r="Q38" s="47" t="n">
        <v>3</v>
      </c>
      <c r="R38" s="12" t="s">
        <v>683</v>
      </c>
      <c r="S38" s="12" t="s">
        <v>684</v>
      </c>
      <c r="T38" s="43" t="s">
        <v>498</v>
      </c>
      <c r="U38" s="37"/>
    </row>
    <row r="39" customFormat="false" ht="32.25" hidden="false" customHeight="true" outlineLevel="0" collapsed="false">
      <c r="A39" s="43" t="s">
        <v>685</v>
      </c>
      <c r="B39" s="43" t="s">
        <v>686</v>
      </c>
      <c r="C39" s="43" t="s">
        <v>687</v>
      </c>
      <c r="D39" s="43" t="s">
        <v>558</v>
      </c>
      <c r="E39" s="12" t="s">
        <v>688</v>
      </c>
      <c r="F39" s="12" t="s">
        <v>533</v>
      </c>
      <c r="G39" s="47" t="s">
        <v>689</v>
      </c>
      <c r="H39" s="47" t="n">
        <v>12</v>
      </c>
      <c r="I39" s="47" t="s">
        <v>421</v>
      </c>
      <c r="J39" s="47" t="s">
        <v>640</v>
      </c>
      <c r="K39" s="48" t="s">
        <v>641</v>
      </c>
      <c r="L39" s="47" t="s">
        <v>425</v>
      </c>
      <c r="M39" s="47" t="s">
        <v>436</v>
      </c>
      <c r="N39" s="47" t="s">
        <v>424</v>
      </c>
      <c r="O39" s="47" t="s">
        <v>424</v>
      </c>
      <c r="P39" s="47" t="s">
        <v>569</v>
      </c>
      <c r="Q39" s="47" t="n">
        <v>2</v>
      </c>
      <c r="R39" s="12" t="s">
        <v>690</v>
      </c>
      <c r="S39" s="12" t="s">
        <v>691</v>
      </c>
      <c r="T39" s="43" t="s">
        <v>498</v>
      </c>
      <c r="U39" s="37"/>
    </row>
    <row r="40" customFormat="false" ht="32.25" hidden="false" customHeight="true" outlineLevel="0" collapsed="false">
      <c r="A40" s="43" t="s">
        <v>692</v>
      </c>
      <c r="B40" s="43" t="s">
        <v>693</v>
      </c>
      <c r="C40" s="43" t="s">
        <v>694</v>
      </c>
      <c r="D40" s="43" t="s">
        <v>695</v>
      </c>
      <c r="E40" s="12" t="s">
        <v>696</v>
      </c>
      <c r="F40" s="12" t="s">
        <v>681</v>
      </c>
      <c r="G40" s="47" t="s">
        <v>697</v>
      </c>
      <c r="H40" s="47" t="n">
        <v>4</v>
      </c>
      <c r="I40" s="47" t="s">
        <v>421</v>
      </c>
      <c r="J40" s="47" t="s">
        <v>698</v>
      </c>
      <c r="K40" s="48" t="s">
        <v>641</v>
      </c>
      <c r="L40" s="47" t="s">
        <v>425</v>
      </c>
      <c r="M40" s="47" t="s">
        <v>436</v>
      </c>
      <c r="N40" s="47" t="s">
        <v>424</v>
      </c>
      <c r="O40" s="47" t="s">
        <v>424</v>
      </c>
      <c r="P40" s="47" t="s">
        <v>569</v>
      </c>
      <c r="Q40" s="47" t="n">
        <v>1</v>
      </c>
      <c r="R40" s="12" t="s">
        <v>699</v>
      </c>
      <c r="S40" s="12" t="s">
        <v>700</v>
      </c>
      <c r="T40" s="43" t="s">
        <v>498</v>
      </c>
      <c r="U40" s="37"/>
    </row>
    <row r="41" customFormat="false" ht="32.25" hidden="false" customHeight="true" outlineLevel="0" collapsed="false">
      <c r="A41" s="43" t="s">
        <v>701</v>
      </c>
      <c r="B41" s="43" t="s">
        <v>702</v>
      </c>
      <c r="C41" s="43" t="s">
        <v>703</v>
      </c>
      <c r="D41" s="43" t="s">
        <v>704</v>
      </c>
      <c r="E41" s="12" t="s">
        <v>705</v>
      </c>
      <c r="F41" s="12" t="s">
        <v>533</v>
      </c>
      <c r="G41" s="47" t="s">
        <v>706</v>
      </c>
      <c r="H41" s="47" t="n">
        <v>5</v>
      </c>
      <c r="I41" s="47" t="s">
        <v>421</v>
      </c>
      <c r="J41" s="47" t="s">
        <v>698</v>
      </c>
      <c r="K41" s="48" t="s">
        <v>641</v>
      </c>
      <c r="L41" s="47" t="s">
        <v>425</v>
      </c>
      <c r="M41" s="47" t="s">
        <v>436</v>
      </c>
      <c r="N41" s="47" t="s">
        <v>424</v>
      </c>
      <c r="O41" s="47" t="s">
        <v>424</v>
      </c>
      <c r="P41" s="47" t="s">
        <v>569</v>
      </c>
      <c r="Q41" s="47" t="n">
        <v>1</v>
      </c>
      <c r="R41" s="12" t="s">
        <v>707</v>
      </c>
      <c r="S41" s="12" t="s">
        <v>708</v>
      </c>
      <c r="T41" s="43" t="s">
        <v>498</v>
      </c>
      <c r="U41" s="37"/>
    </row>
    <row r="42" customFormat="false" ht="32.25" hidden="false" customHeight="true" outlineLevel="0" collapsed="false">
      <c r="A42" s="49" t="s">
        <v>709</v>
      </c>
      <c r="B42" s="43" t="s">
        <v>710</v>
      </c>
      <c r="C42" s="43" t="s">
        <v>711</v>
      </c>
      <c r="D42" s="43" t="s">
        <v>712</v>
      </c>
      <c r="E42" s="12" t="s">
        <v>713</v>
      </c>
      <c r="F42" s="12" t="s">
        <v>419</v>
      </c>
      <c r="G42" s="47" t="s">
        <v>714</v>
      </c>
      <c r="H42" s="47" t="n">
        <v>40</v>
      </c>
      <c r="I42" s="47" t="s">
        <v>640</v>
      </c>
      <c r="J42" s="47" t="s">
        <v>461</v>
      </c>
      <c r="K42" s="50" t="s">
        <v>715</v>
      </c>
      <c r="L42" s="47" t="s">
        <v>436</v>
      </c>
      <c r="M42" s="47" t="s">
        <v>436</v>
      </c>
      <c r="N42" s="47" t="s">
        <v>425</v>
      </c>
      <c r="O42" s="47" t="s">
        <v>425</v>
      </c>
      <c r="P42" s="47" t="s">
        <v>426</v>
      </c>
      <c r="Q42" s="47" t="n">
        <v>2</v>
      </c>
      <c r="R42" s="12" t="s">
        <v>716</v>
      </c>
      <c r="S42" s="12" t="s">
        <v>717</v>
      </c>
      <c r="T42" s="43" t="s">
        <v>429</v>
      </c>
      <c r="U42" s="37"/>
    </row>
    <row r="43" customFormat="false" ht="21.75" hidden="false" customHeight="true" outlineLevel="0" collapsed="false">
      <c r="A43" s="49" t="s">
        <v>718</v>
      </c>
      <c r="B43" s="43" t="s">
        <v>719</v>
      </c>
      <c r="C43" s="43" t="s">
        <v>720</v>
      </c>
      <c r="D43" s="43" t="s">
        <v>458</v>
      </c>
      <c r="E43" s="12" t="s">
        <v>205</v>
      </c>
      <c r="F43" s="12" t="s">
        <v>459</v>
      </c>
      <c r="G43" s="47" t="s">
        <v>721</v>
      </c>
      <c r="H43" s="47" t="n">
        <v>70</v>
      </c>
      <c r="I43" s="47" t="s">
        <v>640</v>
      </c>
      <c r="J43" s="47" t="s">
        <v>422</v>
      </c>
      <c r="K43" s="50" t="s">
        <v>715</v>
      </c>
      <c r="L43" s="47" t="s">
        <v>436</v>
      </c>
      <c r="M43" s="47" t="s">
        <v>436</v>
      </c>
      <c r="N43" s="47" t="s">
        <v>425</v>
      </c>
      <c r="O43" s="47" t="s">
        <v>425</v>
      </c>
      <c r="P43" s="47" t="s">
        <v>426</v>
      </c>
      <c r="Q43" s="47" t="n">
        <v>1</v>
      </c>
      <c r="R43" s="12" t="s">
        <v>722</v>
      </c>
      <c r="S43" s="12" t="s">
        <v>723</v>
      </c>
      <c r="T43" s="43" t="s">
        <v>480</v>
      </c>
      <c r="U43" s="37"/>
    </row>
    <row r="44" customFormat="false" ht="21.75" hidden="false" customHeight="true" outlineLevel="0" collapsed="false">
      <c r="A44" s="49" t="s">
        <v>724</v>
      </c>
      <c r="B44" s="43" t="s">
        <v>725</v>
      </c>
      <c r="C44" s="43" t="s">
        <v>726</v>
      </c>
      <c r="D44" s="43" t="s">
        <v>524</v>
      </c>
      <c r="E44" s="12" t="s">
        <v>727</v>
      </c>
      <c r="F44" s="12" t="s">
        <v>627</v>
      </c>
      <c r="G44" s="47" t="s">
        <v>728</v>
      </c>
      <c r="H44" s="47" t="n">
        <v>12</v>
      </c>
      <c r="I44" s="47" t="s">
        <v>461</v>
      </c>
      <c r="J44" s="47" t="s">
        <v>422</v>
      </c>
      <c r="K44" s="50" t="s">
        <v>715</v>
      </c>
      <c r="L44" s="47" t="s">
        <v>436</v>
      </c>
      <c r="M44" s="47" t="s">
        <v>436</v>
      </c>
      <c r="N44" s="47" t="s">
        <v>425</v>
      </c>
      <c r="O44" s="47" t="s">
        <v>424</v>
      </c>
      <c r="P44" s="47" t="s">
        <v>426</v>
      </c>
      <c r="Q44" s="47" t="n">
        <v>3</v>
      </c>
      <c r="R44" s="12" t="s">
        <v>729</v>
      </c>
      <c r="S44" s="12" t="s">
        <v>730</v>
      </c>
      <c r="T44" s="43" t="s">
        <v>480</v>
      </c>
      <c r="U44" s="37"/>
    </row>
    <row r="45" customFormat="false" ht="32.25" hidden="false" customHeight="true" outlineLevel="0" collapsed="false">
      <c r="A45" s="49" t="s">
        <v>731</v>
      </c>
      <c r="B45" s="43" t="s">
        <v>732</v>
      </c>
      <c r="C45" s="43" t="s">
        <v>733</v>
      </c>
      <c r="D45" s="43" t="s">
        <v>598</v>
      </c>
      <c r="E45" s="12" t="s">
        <v>205</v>
      </c>
      <c r="F45" s="12" t="s">
        <v>419</v>
      </c>
      <c r="G45" s="47" t="s">
        <v>734</v>
      </c>
      <c r="H45" s="47" t="n">
        <v>80</v>
      </c>
      <c r="I45" s="47" t="s">
        <v>461</v>
      </c>
      <c r="J45" s="47" t="s">
        <v>421</v>
      </c>
      <c r="K45" s="50" t="s">
        <v>735</v>
      </c>
      <c r="L45" s="47" t="s">
        <v>425</v>
      </c>
      <c r="M45" s="47" t="s">
        <v>425</v>
      </c>
      <c r="N45" s="47" t="s">
        <v>425</v>
      </c>
      <c r="O45" s="47" t="s">
        <v>425</v>
      </c>
      <c r="P45" s="47" t="s">
        <v>426</v>
      </c>
      <c r="Q45" s="47" t="n">
        <v>1</v>
      </c>
      <c r="R45" s="12" t="s">
        <v>736</v>
      </c>
      <c r="S45" s="12" t="s">
        <v>737</v>
      </c>
      <c r="T45" s="43" t="s">
        <v>480</v>
      </c>
      <c r="U45" s="37" t="n">
        <v>46447</v>
      </c>
    </row>
    <row r="46" customFormat="false" ht="21.75" hidden="false" customHeight="true" outlineLevel="0" collapsed="false">
      <c r="A46" s="49" t="s">
        <v>738</v>
      </c>
      <c r="B46" s="43" t="s">
        <v>739</v>
      </c>
      <c r="C46" s="43" t="s">
        <v>740</v>
      </c>
      <c r="D46" s="43" t="s">
        <v>475</v>
      </c>
      <c r="E46" s="12" t="s">
        <v>205</v>
      </c>
      <c r="F46" s="12" t="s">
        <v>419</v>
      </c>
      <c r="G46" s="47" t="s">
        <v>741</v>
      </c>
      <c r="H46" s="47" t="n">
        <v>40</v>
      </c>
      <c r="I46" s="47" t="s">
        <v>461</v>
      </c>
      <c r="J46" s="47" t="s">
        <v>461</v>
      </c>
      <c r="K46" s="50" t="s">
        <v>735</v>
      </c>
      <c r="L46" s="47" t="s">
        <v>425</v>
      </c>
      <c r="M46" s="47" t="s">
        <v>425</v>
      </c>
      <c r="N46" s="47" t="s">
        <v>425</v>
      </c>
      <c r="O46" s="47" t="s">
        <v>425</v>
      </c>
      <c r="P46" s="47" t="s">
        <v>426</v>
      </c>
      <c r="Q46" s="47" t="n">
        <v>1</v>
      </c>
      <c r="R46" s="12" t="s">
        <v>742</v>
      </c>
      <c r="S46" s="12" t="s">
        <v>743</v>
      </c>
      <c r="T46" s="43" t="s">
        <v>480</v>
      </c>
      <c r="U46" s="37"/>
    </row>
    <row r="47" customFormat="false" ht="21.75" hidden="false" customHeight="true" outlineLevel="0" collapsed="false">
      <c r="A47" s="49" t="s">
        <v>744</v>
      </c>
      <c r="B47" s="43" t="s">
        <v>745</v>
      </c>
      <c r="C47" s="43" t="s">
        <v>746</v>
      </c>
      <c r="D47" s="43" t="s">
        <v>502</v>
      </c>
      <c r="E47" s="12" t="s">
        <v>205</v>
      </c>
      <c r="F47" s="12" t="s">
        <v>419</v>
      </c>
      <c r="G47" s="47" t="s">
        <v>747</v>
      </c>
      <c r="H47" s="47" t="n">
        <v>60</v>
      </c>
      <c r="I47" s="47" t="s">
        <v>421</v>
      </c>
      <c r="J47" s="47" t="s">
        <v>422</v>
      </c>
      <c r="K47" s="50" t="s">
        <v>735</v>
      </c>
      <c r="L47" s="47" t="s">
        <v>425</v>
      </c>
      <c r="M47" s="47" t="s">
        <v>425</v>
      </c>
      <c r="N47" s="47" t="s">
        <v>425</v>
      </c>
      <c r="O47" s="47" t="s">
        <v>425</v>
      </c>
      <c r="P47" s="47" t="s">
        <v>426</v>
      </c>
      <c r="Q47" s="47" t="n">
        <v>1</v>
      </c>
      <c r="R47" s="12" t="s">
        <v>748</v>
      </c>
      <c r="S47" s="12" t="s">
        <v>749</v>
      </c>
      <c r="T47" s="43" t="s">
        <v>480</v>
      </c>
      <c r="U47" s="37"/>
    </row>
    <row r="48" customFormat="false" ht="32.25" hidden="false" customHeight="true" outlineLevel="0" collapsed="false">
      <c r="A48" s="49" t="s">
        <v>750</v>
      </c>
      <c r="B48" s="43" t="s">
        <v>751</v>
      </c>
      <c r="C48" s="43" t="s">
        <v>751</v>
      </c>
      <c r="D48" s="43" t="s">
        <v>752</v>
      </c>
      <c r="E48" s="12" t="s">
        <v>753</v>
      </c>
      <c r="F48" s="12" t="s">
        <v>503</v>
      </c>
      <c r="G48" s="47" t="s">
        <v>504</v>
      </c>
      <c r="H48" s="47" t="n">
        <v>30</v>
      </c>
      <c r="I48" s="47" t="s">
        <v>422</v>
      </c>
      <c r="J48" s="47" t="s">
        <v>698</v>
      </c>
      <c r="K48" s="50" t="s">
        <v>735</v>
      </c>
      <c r="L48" s="47" t="s">
        <v>425</v>
      </c>
      <c r="M48" s="47" t="s">
        <v>425</v>
      </c>
      <c r="N48" s="47" t="s">
        <v>436</v>
      </c>
      <c r="O48" s="47" t="s">
        <v>424</v>
      </c>
      <c r="P48" s="47" t="s">
        <v>426</v>
      </c>
      <c r="Q48" s="47" t="n">
        <v>2</v>
      </c>
      <c r="R48" s="12" t="s">
        <v>754</v>
      </c>
      <c r="S48" s="12" t="s">
        <v>755</v>
      </c>
      <c r="T48" s="43" t="s">
        <v>429</v>
      </c>
      <c r="U48" s="37"/>
    </row>
    <row r="49" customFormat="false" ht="21.75" hidden="false" customHeight="true" outlineLevel="0" collapsed="false">
      <c r="A49" s="49" t="s">
        <v>756</v>
      </c>
      <c r="B49" s="43" t="s">
        <v>757</v>
      </c>
      <c r="C49" s="43" t="s">
        <v>758</v>
      </c>
      <c r="D49" s="43" t="s">
        <v>759</v>
      </c>
      <c r="E49" s="12" t="s">
        <v>205</v>
      </c>
      <c r="F49" s="12" t="s">
        <v>551</v>
      </c>
      <c r="G49" s="47" t="s">
        <v>760</v>
      </c>
      <c r="H49" s="47" t="n">
        <v>20</v>
      </c>
      <c r="I49" s="47" t="s">
        <v>421</v>
      </c>
      <c r="J49" s="47" t="s">
        <v>461</v>
      </c>
      <c r="K49" s="50" t="s">
        <v>735</v>
      </c>
      <c r="L49" s="47" t="s">
        <v>425</v>
      </c>
      <c r="M49" s="47" t="s">
        <v>425</v>
      </c>
      <c r="N49" s="47" t="s">
        <v>425</v>
      </c>
      <c r="O49" s="47" t="s">
        <v>425</v>
      </c>
      <c r="P49" s="47" t="s">
        <v>426</v>
      </c>
      <c r="Q49" s="47" t="n">
        <v>1</v>
      </c>
      <c r="R49" s="12" t="s">
        <v>761</v>
      </c>
      <c r="S49" s="12" t="s">
        <v>762</v>
      </c>
      <c r="T49" s="43" t="s">
        <v>480</v>
      </c>
      <c r="U49" s="37"/>
    </row>
    <row r="50" customFormat="false" ht="15" hidden="false" customHeight="true" outlineLevel="0" collapsed="false">
      <c r="A50" s="43"/>
      <c r="B50" s="43"/>
      <c r="C50" s="43"/>
      <c r="D50" s="43"/>
      <c r="E50" s="12"/>
      <c r="F50" s="12"/>
      <c r="G50" s="47"/>
      <c r="H50" s="47"/>
      <c r="I50" s="47"/>
      <c r="J50" s="47"/>
      <c r="K50" s="47"/>
      <c r="L50" s="47"/>
      <c r="M50" s="47"/>
      <c r="N50" s="47"/>
      <c r="O50" s="47"/>
      <c r="P50" s="47"/>
      <c r="Q50" s="47"/>
      <c r="R50" s="12"/>
      <c r="S50" s="12"/>
      <c r="T50" s="43"/>
      <c r="U50" s="37"/>
    </row>
    <row r="51" customFormat="false" ht="15" hidden="false" customHeight="true" outlineLevel="0" collapsed="false">
      <c r="A51" s="43"/>
      <c r="B51" s="43"/>
      <c r="C51" s="43"/>
      <c r="D51" s="43"/>
      <c r="E51" s="12"/>
      <c r="F51" s="12"/>
      <c r="G51" s="47"/>
      <c r="H51" s="47"/>
      <c r="I51" s="47"/>
      <c r="J51" s="47"/>
      <c r="K51" s="47"/>
      <c r="L51" s="47"/>
      <c r="M51" s="47"/>
      <c r="N51" s="47"/>
      <c r="O51" s="47"/>
      <c r="P51" s="47"/>
      <c r="Q51" s="47"/>
      <c r="R51" s="12"/>
      <c r="S51" s="12"/>
      <c r="T51" s="43"/>
      <c r="U51" s="37"/>
    </row>
    <row r="52" customFormat="false" ht="15" hidden="false" customHeight="true" outlineLevel="0" collapsed="false">
      <c r="A52" s="43"/>
      <c r="B52" s="43"/>
      <c r="C52" s="43"/>
      <c r="D52" s="43"/>
      <c r="E52" s="12"/>
      <c r="F52" s="12"/>
      <c r="G52" s="47"/>
      <c r="H52" s="47"/>
      <c r="I52" s="47"/>
      <c r="J52" s="47"/>
      <c r="K52" s="47"/>
      <c r="L52" s="47"/>
      <c r="M52" s="47"/>
      <c r="N52" s="47"/>
      <c r="O52" s="47"/>
      <c r="P52" s="47"/>
      <c r="Q52" s="47"/>
      <c r="R52" s="12"/>
      <c r="S52" s="12"/>
      <c r="T52" s="43"/>
      <c r="U52" s="37"/>
    </row>
    <row r="53" customFormat="false" ht="15" hidden="false" customHeight="true" outlineLevel="0" collapsed="false">
      <c r="A53" s="43"/>
      <c r="B53" s="43"/>
      <c r="C53" s="43"/>
      <c r="D53" s="43"/>
      <c r="E53" s="12"/>
      <c r="F53" s="12"/>
      <c r="G53" s="47"/>
      <c r="H53" s="47"/>
      <c r="I53" s="47"/>
      <c r="J53" s="47"/>
      <c r="K53" s="47"/>
      <c r="L53" s="47"/>
      <c r="M53" s="47"/>
      <c r="N53" s="47"/>
      <c r="O53" s="47"/>
      <c r="P53" s="47"/>
      <c r="Q53" s="47"/>
      <c r="R53" s="12"/>
      <c r="S53" s="12"/>
      <c r="T53" s="43"/>
      <c r="U53" s="37"/>
    </row>
    <row r="54" customFormat="false" ht="15" hidden="false" customHeight="true" outlineLevel="0" collapsed="false">
      <c r="A54" s="43"/>
      <c r="B54" s="43"/>
      <c r="C54" s="43"/>
      <c r="D54" s="43"/>
      <c r="E54" s="12"/>
      <c r="F54" s="12"/>
      <c r="G54" s="47"/>
      <c r="H54" s="47"/>
      <c r="I54" s="47"/>
      <c r="J54" s="47"/>
      <c r="K54" s="47"/>
      <c r="L54" s="47"/>
      <c r="M54" s="47"/>
      <c r="N54" s="47"/>
      <c r="O54" s="47"/>
      <c r="P54" s="47"/>
      <c r="Q54" s="47"/>
      <c r="R54" s="12"/>
      <c r="S54" s="12"/>
      <c r="T54" s="43"/>
      <c r="U54" s="37"/>
    </row>
    <row r="55" customFormat="false" ht="15" hidden="false" customHeight="true" outlineLevel="0" collapsed="false">
      <c r="A55" s="43"/>
      <c r="B55" s="43"/>
      <c r="C55" s="43"/>
      <c r="D55" s="43"/>
      <c r="E55" s="12"/>
      <c r="F55" s="12"/>
      <c r="G55" s="47"/>
      <c r="H55" s="47"/>
      <c r="I55" s="47"/>
      <c r="J55" s="47"/>
      <c r="K55" s="47"/>
      <c r="L55" s="47"/>
      <c r="M55" s="47"/>
      <c r="N55" s="47"/>
      <c r="O55" s="47"/>
      <c r="P55" s="47"/>
      <c r="Q55" s="47"/>
      <c r="R55" s="12"/>
      <c r="S55" s="12"/>
      <c r="T55" s="43"/>
      <c r="U55" s="37"/>
    </row>
    <row r="56" customFormat="false" ht="15" hidden="false" customHeight="true" outlineLevel="0" collapsed="false">
      <c r="A56" s="43"/>
      <c r="B56" s="43"/>
      <c r="C56" s="43"/>
      <c r="D56" s="43"/>
      <c r="E56" s="12"/>
      <c r="F56" s="12"/>
      <c r="G56" s="47"/>
      <c r="H56" s="47"/>
      <c r="I56" s="47"/>
      <c r="J56" s="47"/>
      <c r="K56" s="47"/>
      <c r="L56" s="47"/>
      <c r="M56" s="47"/>
      <c r="N56" s="47"/>
      <c r="O56" s="47"/>
      <c r="P56" s="47"/>
      <c r="Q56" s="47"/>
      <c r="R56" s="12"/>
      <c r="S56" s="12"/>
      <c r="T56" s="43"/>
      <c r="U56" s="37"/>
    </row>
    <row r="57" customFormat="false" ht="15" hidden="false" customHeight="true" outlineLevel="0" collapsed="false">
      <c r="A57" s="43"/>
      <c r="B57" s="43"/>
      <c r="C57" s="43"/>
      <c r="D57" s="43"/>
      <c r="E57" s="12"/>
      <c r="F57" s="12"/>
      <c r="G57" s="47"/>
      <c r="H57" s="47"/>
      <c r="I57" s="47"/>
      <c r="J57" s="47"/>
      <c r="K57" s="47"/>
      <c r="L57" s="47"/>
      <c r="M57" s="47"/>
      <c r="N57" s="47"/>
      <c r="O57" s="47"/>
      <c r="P57" s="47"/>
      <c r="Q57" s="47"/>
      <c r="R57" s="12"/>
      <c r="S57" s="12"/>
      <c r="T57" s="43"/>
      <c r="U57" s="37"/>
    </row>
    <row r="58" customFormat="false" ht="15" hidden="false" customHeight="true" outlineLevel="0" collapsed="false">
      <c r="A58" s="43"/>
      <c r="B58" s="43"/>
      <c r="C58" s="43"/>
      <c r="D58" s="43"/>
      <c r="E58" s="12"/>
      <c r="F58" s="12"/>
      <c r="G58" s="47"/>
      <c r="H58" s="47"/>
      <c r="I58" s="47"/>
      <c r="J58" s="47"/>
      <c r="K58" s="47"/>
      <c r="L58" s="47"/>
      <c r="M58" s="47"/>
      <c r="N58" s="47"/>
      <c r="O58" s="47"/>
      <c r="P58" s="47"/>
      <c r="Q58" s="47"/>
      <c r="R58" s="12"/>
      <c r="S58" s="12"/>
      <c r="T58" s="43"/>
      <c r="U58" s="37"/>
    </row>
    <row r="59" customFormat="false" ht="15" hidden="false" customHeight="true" outlineLevel="0" collapsed="false">
      <c r="A59" s="43"/>
      <c r="B59" s="43"/>
      <c r="C59" s="43"/>
      <c r="D59" s="43"/>
      <c r="E59" s="12"/>
      <c r="F59" s="12"/>
      <c r="G59" s="47"/>
      <c r="H59" s="47"/>
      <c r="I59" s="47"/>
      <c r="J59" s="47"/>
      <c r="K59" s="47"/>
      <c r="L59" s="47"/>
      <c r="M59" s="47"/>
      <c r="N59" s="47"/>
      <c r="O59" s="47"/>
      <c r="P59" s="47"/>
      <c r="Q59" s="47"/>
      <c r="R59" s="12"/>
      <c r="S59" s="12"/>
      <c r="T59" s="43"/>
      <c r="U59" s="37"/>
    </row>
    <row r="60" customFormat="false" ht="15" hidden="false" customHeight="true" outlineLevel="0" collapsed="false">
      <c r="A60" s="43"/>
      <c r="B60" s="43"/>
      <c r="C60" s="43"/>
      <c r="D60" s="43"/>
      <c r="E60" s="12"/>
      <c r="F60" s="12"/>
      <c r="G60" s="47"/>
      <c r="H60" s="47"/>
      <c r="I60" s="47"/>
      <c r="J60" s="47"/>
      <c r="K60" s="47"/>
      <c r="L60" s="47"/>
      <c r="M60" s="47"/>
      <c r="N60" s="47"/>
      <c r="O60" s="47"/>
      <c r="P60" s="47"/>
      <c r="Q60" s="47"/>
      <c r="R60" s="12"/>
      <c r="S60" s="12"/>
      <c r="T60" s="43"/>
      <c r="U60" s="37"/>
    </row>
    <row r="61" customFormat="false" ht="15" hidden="false" customHeight="true" outlineLevel="0" collapsed="false">
      <c r="A61" s="43"/>
      <c r="B61" s="43"/>
      <c r="C61" s="43"/>
      <c r="D61" s="43"/>
      <c r="E61" s="12"/>
      <c r="F61" s="12"/>
      <c r="G61" s="47"/>
      <c r="H61" s="47"/>
      <c r="I61" s="47"/>
      <c r="J61" s="47"/>
      <c r="K61" s="47"/>
      <c r="L61" s="47"/>
      <c r="M61" s="47"/>
      <c r="N61" s="47"/>
      <c r="O61" s="47"/>
      <c r="P61" s="47"/>
      <c r="Q61" s="47"/>
      <c r="R61" s="12"/>
      <c r="S61" s="12"/>
      <c r="T61" s="43"/>
      <c r="U61" s="37"/>
    </row>
    <row r="62" customFormat="false" ht="15" hidden="false" customHeight="true" outlineLevel="0" collapsed="false">
      <c r="A62" s="43"/>
      <c r="B62" s="43"/>
      <c r="C62" s="43"/>
      <c r="D62" s="43"/>
      <c r="E62" s="12"/>
      <c r="F62" s="12"/>
      <c r="G62" s="47"/>
      <c r="H62" s="47"/>
      <c r="I62" s="47"/>
      <c r="J62" s="47"/>
      <c r="K62" s="47"/>
      <c r="L62" s="47"/>
      <c r="M62" s="47"/>
      <c r="N62" s="47"/>
      <c r="O62" s="47"/>
      <c r="P62" s="47"/>
      <c r="Q62" s="47"/>
      <c r="R62" s="12"/>
      <c r="S62" s="12"/>
      <c r="T62" s="43"/>
      <c r="U62" s="37"/>
    </row>
    <row r="63" customFormat="false" ht="15" hidden="false" customHeight="true" outlineLevel="0" collapsed="false">
      <c r="A63" s="43"/>
      <c r="B63" s="43"/>
      <c r="C63" s="43"/>
      <c r="D63" s="43"/>
      <c r="E63" s="12"/>
      <c r="F63" s="12"/>
      <c r="G63" s="47"/>
      <c r="H63" s="47"/>
      <c r="I63" s="47"/>
      <c r="J63" s="47"/>
      <c r="K63" s="47"/>
      <c r="L63" s="47"/>
      <c r="M63" s="47"/>
      <c r="N63" s="47"/>
      <c r="O63" s="47"/>
      <c r="P63" s="47"/>
      <c r="Q63" s="47"/>
      <c r="R63" s="12"/>
      <c r="S63" s="12"/>
      <c r="T63" s="43"/>
      <c r="U63" s="37"/>
    </row>
    <row r="64" customFormat="false" ht="15" hidden="false" customHeight="true" outlineLevel="0" collapsed="false">
      <c r="A64" s="43"/>
      <c r="B64" s="43"/>
      <c r="C64" s="43"/>
      <c r="D64" s="43"/>
      <c r="E64" s="12"/>
      <c r="F64" s="12"/>
      <c r="G64" s="47"/>
      <c r="H64" s="47"/>
      <c r="I64" s="47"/>
      <c r="J64" s="47"/>
      <c r="K64" s="47"/>
      <c r="L64" s="47"/>
      <c r="M64" s="47"/>
      <c r="N64" s="47"/>
      <c r="O64" s="47"/>
      <c r="P64" s="47"/>
      <c r="Q64" s="47"/>
      <c r="R64" s="12"/>
      <c r="S64" s="12"/>
      <c r="T64" s="43"/>
      <c r="U64" s="37"/>
    </row>
    <row r="65" customFormat="false" ht="15" hidden="false" customHeight="true" outlineLevel="0" collapsed="false">
      <c r="A65" s="43"/>
      <c r="B65" s="43"/>
      <c r="C65" s="43"/>
      <c r="D65" s="43"/>
      <c r="E65" s="12"/>
      <c r="F65" s="12"/>
      <c r="G65" s="47"/>
      <c r="H65" s="47"/>
      <c r="I65" s="47"/>
      <c r="J65" s="47"/>
      <c r="K65" s="47"/>
      <c r="L65" s="47"/>
      <c r="M65" s="47"/>
      <c r="N65" s="47"/>
      <c r="O65" s="47"/>
      <c r="P65" s="47"/>
      <c r="Q65" s="47"/>
      <c r="R65" s="12"/>
      <c r="S65" s="12"/>
      <c r="T65" s="43"/>
      <c r="U65" s="37"/>
    </row>
    <row r="66" customFormat="false" ht="15" hidden="false" customHeight="true" outlineLevel="0" collapsed="false">
      <c r="A66" s="43"/>
      <c r="B66" s="43"/>
      <c r="C66" s="43"/>
      <c r="D66" s="43"/>
      <c r="E66" s="12"/>
      <c r="F66" s="12"/>
      <c r="G66" s="47"/>
      <c r="H66" s="47"/>
      <c r="I66" s="47"/>
      <c r="J66" s="47"/>
      <c r="K66" s="47"/>
      <c r="L66" s="47"/>
      <c r="M66" s="47"/>
      <c r="N66" s="47"/>
      <c r="O66" s="47"/>
      <c r="P66" s="47"/>
      <c r="Q66" s="47"/>
      <c r="R66" s="12"/>
      <c r="S66" s="12"/>
      <c r="T66" s="43"/>
      <c r="U66" s="37"/>
    </row>
    <row r="67" customFormat="false" ht="15" hidden="false" customHeight="true" outlineLevel="0" collapsed="false">
      <c r="A67" s="43"/>
      <c r="B67" s="43"/>
      <c r="C67" s="43"/>
      <c r="D67" s="43"/>
      <c r="E67" s="12"/>
      <c r="F67" s="12"/>
      <c r="G67" s="47"/>
      <c r="H67" s="47"/>
      <c r="I67" s="47"/>
      <c r="J67" s="47"/>
      <c r="K67" s="47"/>
      <c r="L67" s="47"/>
      <c r="M67" s="47"/>
      <c r="N67" s="47"/>
      <c r="O67" s="47"/>
      <c r="P67" s="47"/>
      <c r="Q67" s="47"/>
      <c r="R67" s="12"/>
      <c r="S67" s="12"/>
      <c r="T67" s="43"/>
      <c r="U67" s="37"/>
    </row>
    <row r="68" customFormat="false" ht="15" hidden="false" customHeight="true" outlineLevel="0" collapsed="false">
      <c r="A68" s="43"/>
      <c r="B68" s="43"/>
      <c r="C68" s="43"/>
      <c r="D68" s="43"/>
      <c r="E68" s="12"/>
      <c r="F68" s="12"/>
      <c r="G68" s="47"/>
      <c r="H68" s="47"/>
      <c r="I68" s="47"/>
      <c r="J68" s="47"/>
      <c r="K68" s="47"/>
      <c r="L68" s="47"/>
      <c r="M68" s="47"/>
      <c r="N68" s="47"/>
      <c r="O68" s="47"/>
      <c r="P68" s="47"/>
      <c r="Q68" s="47"/>
      <c r="R68" s="12"/>
      <c r="S68" s="12"/>
      <c r="T68" s="43"/>
      <c r="U68" s="37"/>
    </row>
    <row r="69" customFormat="false" ht="15" hidden="false" customHeight="true" outlineLevel="0" collapsed="false">
      <c r="A69" s="43"/>
      <c r="B69" s="43"/>
      <c r="C69" s="43"/>
      <c r="D69" s="43"/>
      <c r="E69" s="12"/>
      <c r="F69" s="12"/>
      <c r="G69" s="47"/>
      <c r="H69" s="47"/>
      <c r="I69" s="47"/>
      <c r="J69" s="47"/>
      <c r="K69" s="47"/>
      <c r="L69" s="47"/>
      <c r="M69" s="47"/>
      <c r="N69" s="47"/>
      <c r="O69" s="47"/>
      <c r="P69" s="47"/>
      <c r="Q69" s="47"/>
      <c r="R69" s="12"/>
      <c r="S69" s="12"/>
      <c r="T69" s="43"/>
      <c r="U69" s="37"/>
    </row>
    <row r="70" customFormat="false" ht="15" hidden="false" customHeight="true" outlineLevel="0" collapsed="false">
      <c r="A70" s="43"/>
      <c r="B70" s="43"/>
      <c r="C70" s="43"/>
      <c r="D70" s="43"/>
      <c r="E70" s="12"/>
      <c r="F70" s="12"/>
      <c r="G70" s="47"/>
      <c r="H70" s="47"/>
      <c r="I70" s="47"/>
      <c r="J70" s="47"/>
      <c r="K70" s="47"/>
      <c r="L70" s="47"/>
      <c r="M70" s="47"/>
      <c r="N70" s="47"/>
      <c r="O70" s="47"/>
      <c r="P70" s="47"/>
      <c r="Q70" s="47"/>
      <c r="R70" s="12"/>
      <c r="S70" s="12"/>
      <c r="T70" s="43"/>
      <c r="U70" s="37"/>
    </row>
    <row r="71" customFormat="false" ht="15" hidden="false" customHeight="true" outlineLevel="0" collapsed="false">
      <c r="A71" s="43"/>
      <c r="B71" s="43"/>
      <c r="C71" s="43"/>
      <c r="D71" s="43"/>
      <c r="E71" s="12"/>
      <c r="F71" s="12"/>
      <c r="G71" s="47"/>
      <c r="H71" s="47"/>
      <c r="I71" s="47"/>
      <c r="J71" s="47"/>
      <c r="K71" s="47"/>
      <c r="L71" s="47"/>
      <c r="M71" s="47"/>
      <c r="N71" s="47"/>
      <c r="O71" s="47"/>
      <c r="P71" s="47"/>
      <c r="Q71" s="47"/>
      <c r="R71" s="12"/>
      <c r="S71" s="12"/>
      <c r="T71" s="43"/>
      <c r="U71" s="37"/>
    </row>
    <row r="72" customFormat="false" ht="15" hidden="false" customHeight="true" outlineLevel="0" collapsed="false">
      <c r="A72" s="43"/>
      <c r="B72" s="43"/>
      <c r="C72" s="43"/>
      <c r="D72" s="43"/>
      <c r="E72" s="12"/>
      <c r="F72" s="12"/>
      <c r="G72" s="47"/>
      <c r="H72" s="47"/>
      <c r="I72" s="47"/>
      <c r="J72" s="47"/>
      <c r="K72" s="47"/>
      <c r="L72" s="47"/>
      <c r="M72" s="47"/>
      <c r="N72" s="47"/>
      <c r="O72" s="47"/>
      <c r="P72" s="47"/>
      <c r="Q72" s="47"/>
      <c r="R72" s="12"/>
      <c r="S72" s="12"/>
      <c r="T72" s="43"/>
      <c r="U72" s="37"/>
    </row>
    <row r="73" customFormat="false" ht="15" hidden="false" customHeight="true" outlineLevel="0" collapsed="false">
      <c r="A73" s="43"/>
      <c r="B73" s="43"/>
      <c r="C73" s="43"/>
      <c r="D73" s="43"/>
      <c r="E73" s="12"/>
      <c r="F73" s="12"/>
      <c r="G73" s="47"/>
      <c r="H73" s="47"/>
      <c r="I73" s="47"/>
      <c r="J73" s="47"/>
      <c r="K73" s="47"/>
      <c r="L73" s="47"/>
      <c r="M73" s="47"/>
      <c r="N73" s="47"/>
      <c r="O73" s="47"/>
      <c r="P73" s="47"/>
      <c r="Q73" s="47"/>
      <c r="R73" s="12"/>
      <c r="S73" s="12"/>
      <c r="T73" s="43"/>
      <c r="U73" s="37"/>
    </row>
    <row r="74" customFormat="false" ht="15" hidden="false" customHeight="true" outlineLevel="0" collapsed="false">
      <c r="A74" s="43"/>
      <c r="B74" s="43"/>
      <c r="C74" s="43"/>
      <c r="D74" s="43"/>
      <c r="E74" s="12"/>
      <c r="F74" s="12"/>
      <c r="G74" s="47"/>
      <c r="H74" s="47"/>
      <c r="I74" s="47"/>
      <c r="J74" s="47"/>
      <c r="K74" s="47"/>
      <c r="L74" s="47"/>
      <c r="M74" s="47"/>
      <c r="N74" s="47"/>
      <c r="O74" s="47"/>
      <c r="P74" s="47"/>
      <c r="Q74" s="47"/>
      <c r="R74" s="12"/>
      <c r="S74" s="12"/>
      <c r="T74" s="43"/>
      <c r="U74" s="37"/>
    </row>
    <row r="75" customFormat="false" ht="15" hidden="false" customHeight="true" outlineLevel="0" collapsed="false">
      <c r="A75" s="43"/>
      <c r="B75" s="43"/>
      <c r="C75" s="43"/>
      <c r="D75" s="43"/>
      <c r="E75" s="12"/>
      <c r="F75" s="12"/>
      <c r="G75" s="47"/>
      <c r="H75" s="47"/>
      <c r="I75" s="47"/>
      <c r="J75" s="47"/>
      <c r="K75" s="47"/>
      <c r="L75" s="47"/>
      <c r="M75" s="47"/>
      <c r="N75" s="47"/>
      <c r="O75" s="47"/>
      <c r="P75" s="47"/>
      <c r="Q75" s="47"/>
      <c r="R75" s="12"/>
      <c r="S75" s="12"/>
      <c r="T75" s="43"/>
      <c r="U75" s="37"/>
    </row>
    <row r="76" customFormat="false" ht="15" hidden="false" customHeight="true" outlineLevel="0" collapsed="false">
      <c r="A76" s="43"/>
      <c r="B76" s="43"/>
      <c r="C76" s="43"/>
      <c r="D76" s="43"/>
      <c r="E76" s="12"/>
      <c r="F76" s="12"/>
      <c r="G76" s="47"/>
      <c r="H76" s="47"/>
      <c r="I76" s="47"/>
      <c r="J76" s="47"/>
      <c r="K76" s="47"/>
      <c r="L76" s="47"/>
      <c r="M76" s="47"/>
      <c r="N76" s="47"/>
      <c r="O76" s="47"/>
      <c r="P76" s="47"/>
      <c r="Q76" s="47"/>
      <c r="R76" s="12"/>
      <c r="S76" s="12"/>
      <c r="T76" s="43"/>
      <c r="U76" s="37"/>
    </row>
    <row r="77" customFormat="false" ht="15" hidden="false" customHeight="true" outlineLevel="0" collapsed="false">
      <c r="A77" s="43"/>
      <c r="B77" s="43"/>
      <c r="C77" s="43"/>
      <c r="D77" s="43"/>
      <c r="E77" s="12"/>
      <c r="F77" s="12"/>
      <c r="G77" s="47"/>
      <c r="H77" s="47"/>
      <c r="I77" s="47"/>
      <c r="J77" s="47"/>
      <c r="K77" s="47"/>
      <c r="L77" s="47"/>
      <c r="M77" s="47"/>
      <c r="N77" s="47"/>
      <c r="O77" s="47"/>
      <c r="P77" s="47"/>
      <c r="Q77" s="47"/>
      <c r="R77" s="12"/>
      <c r="S77" s="12"/>
      <c r="T77" s="43"/>
      <c r="U77" s="37"/>
    </row>
    <row r="78" customFormat="false" ht="15" hidden="false" customHeight="true" outlineLevel="0" collapsed="false">
      <c r="A78" s="43"/>
      <c r="B78" s="43"/>
      <c r="C78" s="43"/>
      <c r="D78" s="43"/>
      <c r="E78" s="12"/>
      <c r="F78" s="12"/>
      <c r="G78" s="47"/>
      <c r="H78" s="47"/>
      <c r="I78" s="47"/>
      <c r="J78" s="47"/>
      <c r="K78" s="47"/>
      <c r="L78" s="47"/>
      <c r="M78" s="47"/>
      <c r="N78" s="47"/>
      <c r="O78" s="47"/>
      <c r="P78" s="47"/>
      <c r="Q78" s="47"/>
      <c r="R78" s="12"/>
      <c r="S78" s="12"/>
      <c r="T78" s="43"/>
      <c r="U78" s="37"/>
    </row>
    <row r="79" customFormat="false" ht="15" hidden="false" customHeight="true" outlineLevel="0" collapsed="false">
      <c r="A79" s="43"/>
      <c r="B79" s="43"/>
      <c r="C79" s="43"/>
      <c r="D79" s="43"/>
      <c r="E79" s="12"/>
      <c r="F79" s="12"/>
      <c r="G79" s="47"/>
      <c r="H79" s="47"/>
      <c r="I79" s="47"/>
      <c r="J79" s="47"/>
      <c r="K79" s="47"/>
      <c r="L79" s="47"/>
      <c r="M79" s="47"/>
      <c r="N79" s="47"/>
      <c r="O79" s="47"/>
      <c r="P79" s="47"/>
      <c r="Q79" s="47"/>
      <c r="R79" s="12"/>
      <c r="S79" s="12"/>
      <c r="T79" s="43"/>
      <c r="U79" s="37"/>
    </row>
    <row r="80" customFormat="false" ht="15" hidden="false" customHeight="true" outlineLevel="0" collapsed="false">
      <c r="A80" s="43"/>
      <c r="B80" s="43"/>
      <c r="C80" s="43"/>
      <c r="D80" s="43"/>
      <c r="E80" s="12"/>
      <c r="F80" s="12"/>
      <c r="G80" s="47"/>
      <c r="H80" s="47"/>
      <c r="I80" s="47"/>
      <c r="J80" s="47"/>
      <c r="K80" s="47"/>
      <c r="L80" s="47"/>
      <c r="M80" s="47"/>
      <c r="N80" s="47"/>
      <c r="O80" s="47"/>
      <c r="P80" s="47"/>
      <c r="Q80" s="47"/>
      <c r="R80" s="12"/>
      <c r="S80" s="12"/>
      <c r="T80" s="43"/>
      <c r="U80" s="37"/>
    </row>
    <row r="81" customFormat="false" ht="15" hidden="false" customHeight="true" outlineLevel="0" collapsed="false">
      <c r="A81" s="43"/>
      <c r="B81" s="43"/>
      <c r="C81" s="43"/>
      <c r="D81" s="43"/>
      <c r="E81" s="12"/>
      <c r="F81" s="12"/>
      <c r="G81" s="47"/>
      <c r="H81" s="47"/>
      <c r="I81" s="47"/>
      <c r="J81" s="47"/>
      <c r="K81" s="47"/>
      <c r="L81" s="47"/>
      <c r="M81" s="47"/>
      <c r="N81" s="47"/>
      <c r="O81" s="47"/>
      <c r="P81" s="47"/>
      <c r="Q81" s="47"/>
      <c r="R81" s="12"/>
      <c r="S81" s="12"/>
      <c r="T81" s="43"/>
      <c r="U81" s="37"/>
    </row>
    <row r="82" customFormat="false" ht="15" hidden="false" customHeight="true" outlineLevel="0" collapsed="false">
      <c r="A82" s="43"/>
      <c r="B82" s="43"/>
      <c r="C82" s="43"/>
      <c r="D82" s="43"/>
      <c r="E82" s="12"/>
      <c r="F82" s="12"/>
      <c r="G82" s="47"/>
      <c r="H82" s="47"/>
      <c r="I82" s="47"/>
      <c r="J82" s="47"/>
      <c r="K82" s="47"/>
      <c r="L82" s="47"/>
      <c r="M82" s="47"/>
      <c r="N82" s="47"/>
      <c r="O82" s="47"/>
      <c r="P82" s="47"/>
      <c r="Q82" s="47"/>
      <c r="R82" s="12"/>
      <c r="S82" s="12"/>
      <c r="T82" s="43"/>
      <c r="U82" s="37"/>
    </row>
    <row r="83" customFormat="false" ht="15" hidden="false" customHeight="true" outlineLevel="0" collapsed="false">
      <c r="A83" s="43"/>
      <c r="B83" s="43"/>
      <c r="C83" s="43"/>
      <c r="D83" s="43"/>
      <c r="E83" s="12"/>
      <c r="F83" s="12"/>
      <c r="G83" s="47"/>
      <c r="H83" s="47"/>
      <c r="I83" s="47"/>
      <c r="J83" s="47"/>
      <c r="K83" s="47"/>
      <c r="L83" s="47"/>
      <c r="M83" s="47"/>
      <c r="N83" s="47"/>
      <c r="O83" s="47"/>
      <c r="P83" s="47"/>
      <c r="Q83" s="47"/>
      <c r="R83" s="12"/>
      <c r="S83" s="12"/>
      <c r="T83" s="43"/>
      <c r="U83" s="37"/>
    </row>
    <row r="84" customFormat="false" ht="15" hidden="false" customHeight="true" outlineLevel="0" collapsed="false">
      <c r="A84" s="43"/>
      <c r="B84" s="43"/>
      <c r="C84" s="43"/>
      <c r="D84" s="43"/>
      <c r="E84" s="12"/>
      <c r="F84" s="12"/>
      <c r="G84" s="47"/>
      <c r="H84" s="47"/>
      <c r="I84" s="47"/>
      <c r="J84" s="47"/>
      <c r="K84" s="47"/>
      <c r="L84" s="47"/>
      <c r="M84" s="47"/>
      <c r="N84" s="47"/>
      <c r="O84" s="47"/>
      <c r="P84" s="47"/>
      <c r="Q84" s="47"/>
      <c r="R84" s="12"/>
      <c r="S84" s="12"/>
      <c r="T84" s="43"/>
      <c r="U84" s="37"/>
    </row>
    <row r="85" customFormat="false" ht="15" hidden="false" customHeight="true" outlineLevel="0" collapsed="false">
      <c r="A85" s="43"/>
      <c r="B85" s="43"/>
      <c r="C85" s="43"/>
      <c r="D85" s="43"/>
      <c r="E85" s="12"/>
      <c r="F85" s="12"/>
      <c r="G85" s="47"/>
      <c r="H85" s="47"/>
      <c r="I85" s="47"/>
      <c r="J85" s="47"/>
      <c r="K85" s="47"/>
      <c r="L85" s="47"/>
      <c r="M85" s="47"/>
      <c r="N85" s="47"/>
      <c r="O85" s="47"/>
      <c r="P85" s="47"/>
      <c r="Q85" s="47"/>
      <c r="R85" s="12"/>
      <c r="S85" s="12"/>
      <c r="T85" s="43"/>
      <c r="U85" s="37"/>
    </row>
    <row r="86" customFormat="false" ht="15" hidden="false" customHeight="true" outlineLevel="0" collapsed="false">
      <c r="A86" s="43"/>
      <c r="B86" s="43"/>
      <c r="C86" s="43"/>
      <c r="D86" s="43"/>
      <c r="E86" s="12"/>
      <c r="F86" s="12"/>
      <c r="G86" s="47"/>
      <c r="H86" s="47"/>
      <c r="I86" s="47"/>
      <c r="J86" s="47"/>
      <c r="K86" s="47"/>
      <c r="L86" s="47"/>
      <c r="M86" s="47"/>
      <c r="N86" s="47"/>
      <c r="O86" s="47"/>
      <c r="P86" s="47"/>
      <c r="Q86" s="47"/>
      <c r="R86" s="12"/>
      <c r="S86" s="12"/>
      <c r="T86" s="43"/>
      <c r="U86" s="37"/>
    </row>
    <row r="87" customFormat="false" ht="15" hidden="false" customHeight="true" outlineLevel="0" collapsed="false">
      <c r="A87" s="43"/>
      <c r="B87" s="43"/>
      <c r="C87" s="43"/>
      <c r="D87" s="43"/>
      <c r="E87" s="12"/>
      <c r="F87" s="12"/>
      <c r="G87" s="47"/>
      <c r="H87" s="47"/>
      <c r="I87" s="47"/>
      <c r="J87" s="47"/>
      <c r="K87" s="47"/>
      <c r="L87" s="47"/>
      <c r="M87" s="47"/>
      <c r="N87" s="47"/>
      <c r="O87" s="47"/>
      <c r="P87" s="47"/>
      <c r="Q87" s="47"/>
      <c r="R87" s="12"/>
      <c r="S87" s="12"/>
      <c r="T87" s="43"/>
      <c r="U87" s="37"/>
    </row>
    <row r="88" customFormat="false" ht="15" hidden="false" customHeight="true" outlineLevel="0" collapsed="false">
      <c r="A88" s="43"/>
      <c r="B88" s="43"/>
      <c r="C88" s="43"/>
      <c r="D88" s="43"/>
      <c r="E88" s="12"/>
      <c r="F88" s="12"/>
      <c r="G88" s="47"/>
      <c r="H88" s="47"/>
      <c r="I88" s="47"/>
      <c r="J88" s="47"/>
      <c r="K88" s="47"/>
      <c r="L88" s="47"/>
      <c r="M88" s="47"/>
      <c r="N88" s="47"/>
      <c r="O88" s="47"/>
      <c r="P88" s="47"/>
      <c r="Q88" s="47"/>
      <c r="R88" s="12"/>
      <c r="S88" s="12"/>
      <c r="T88" s="43"/>
      <c r="U88" s="37"/>
    </row>
    <row r="89" customFormat="false" ht="15" hidden="false" customHeight="true" outlineLevel="0" collapsed="false">
      <c r="A89" s="43"/>
      <c r="B89" s="43"/>
      <c r="C89" s="43"/>
      <c r="D89" s="43"/>
      <c r="E89" s="12"/>
      <c r="F89" s="12"/>
      <c r="G89" s="47"/>
      <c r="H89" s="47"/>
      <c r="I89" s="47"/>
      <c r="J89" s="47"/>
      <c r="K89" s="47"/>
      <c r="L89" s="47"/>
      <c r="M89" s="47"/>
      <c r="N89" s="47"/>
      <c r="O89" s="47"/>
      <c r="P89" s="47"/>
      <c r="Q89" s="47"/>
      <c r="R89" s="12"/>
      <c r="S89" s="12"/>
      <c r="T89" s="43"/>
      <c r="U89" s="37"/>
    </row>
    <row r="90" customFormat="false" ht="15" hidden="false" customHeight="true" outlineLevel="0" collapsed="false">
      <c r="A90" s="43"/>
      <c r="B90" s="43"/>
      <c r="C90" s="43"/>
      <c r="D90" s="43"/>
      <c r="E90" s="12"/>
      <c r="F90" s="12"/>
      <c r="G90" s="47"/>
      <c r="H90" s="47"/>
      <c r="I90" s="47"/>
      <c r="J90" s="47"/>
      <c r="K90" s="47"/>
      <c r="L90" s="47"/>
      <c r="M90" s="47"/>
      <c r="N90" s="47"/>
      <c r="O90" s="47"/>
      <c r="P90" s="47"/>
      <c r="Q90" s="47"/>
      <c r="R90" s="12"/>
      <c r="S90" s="12"/>
      <c r="T90" s="43"/>
      <c r="U90" s="37"/>
    </row>
    <row r="91" customFormat="false" ht="15" hidden="false" customHeight="true" outlineLevel="0" collapsed="false">
      <c r="A91" s="43"/>
      <c r="B91" s="43"/>
      <c r="C91" s="43"/>
      <c r="D91" s="43"/>
      <c r="E91" s="12"/>
      <c r="F91" s="12"/>
      <c r="G91" s="47"/>
      <c r="H91" s="47"/>
      <c r="I91" s="47"/>
      <c r="J91" s="47"/>
      <c r="K91" s="47"/>
      <c r="L91" s="47"/>
      <c r="M91" s="47"/>
      <c r="N91" s="47"/>
      <c r="O91" s="47"/>
      <c r="P91" s="47"/>
      <c r="Q91" s="47"/>
      <c r="R91" s="12"/>
      <c r="S91" s="12"/>
      <c r="T91" s="43"/>
      <c r="U91" s="37"/>
    </row>
    <row r="92" customFormat="false" ht="15" hidden="false" customHeight="true" outlineLevel="0" collapsed="false">
      <c r="A92" s="43"/>
      <c r="B92" s="43"/>
      <c r="C92" s="43"/>
      <c r="D92" s="43"/>
      <c r="E92" s="12"/>
      <c r="F92" s="12"/>
      <c r="G92" s="47"/>
      <c r="H92" s="47"/>
      <c r="I92" s="47"/>
      <c r="J92" s="47"/>
      <c r="K92" s="47"/>
      <c r="L92" s="47"/>
      <c r="M92" s="47"/>
      <c r="N92" s="47"/>
      <c r="O92" s="47"/>
      <c r="P92" s="47"/>
      <c r="Q92" s="47"/>
      <c r="R92" s="12"/>
      <c r="S92" s="12"/>
      <c r="T92" s="43"/>
      <c r="U92" s="37"/>
    </row>
    <row r="93" customFormat="false" ht="15" hidden="false" customHeight="true" outlineLevel="0" collapsed="false">
      <c r="A93" s="43"/>
      <c r="B93" s="43"/>
      <c r="C93" s="43"/>
      <c r="D93" s="43"/>
      <c r="E93" s="12"/>
      <c r="F93" s="12"/>
      <c r="G93" s="47"/>
      <c r="H93" s="47"/>
      <c r="I93" s="47"/>
      <c r="J93" s="47"/>
      <c r="K93" s="47"/>
      <c r="L93" s="47"/>
      <c r="M93" s="47"/>
      <c r="N93" s="47"/>
      <c r="O93" s="47"/>
      <c r="P93" s="47"/>
      <c r="Q93" s="47"/>
      <c r="R93" s="12"/>
      <c r="S93" s="12"/>
      <c r="T93" s="43"/>
      <c r="U93" s="37"/>
    </row>
    <row r="94" customFormat="false" ht="15" hidden="false" customHeight="true" outlineLevel="0" collapsed="false">
      <c r="A94" s="43"/>
      <c r="B94" s="43"/>
      <c r="C94" s="43"/>
      <c r="D94" s="43"/>
      <c r="E94" s="12"/>
      <c r="F94" s="12"/>
      <c r="G94" s="47"/>
      <c r="H94" s="47"/>
      <c r="I94" s="47"/>
      <c r="J94" s="47"/>
      <c r="K94" s="47"/>
      <c r="L94" s="47"/>
      <c r="M94" s="47"/>
      <c r="N94" s="47"/>
      <c r="O94" s="47"/>
      <c r="P94" s="47"/>
      <c r="Q94" s="47"/>
      <c r="R94" s="12"/>
      <c r="S94" s="12"/>
      <c r="T94" s="43"/>
      <c r="U94" s="37"/>
    </row>
    <row r="95" customFormat="false" ht="15" hidden="false" customHeight="true" outlineLevel="0" collapsed="false">
      <c r="A95" s="43"/>
      <c r="B95" s="43"/>
      <c r="C95" s="43"/>
      <c r="D95" s="43"/>
      <c r="E95" s="12"/>
      <c r="F95" s="12"/>
      <c r="G95" s="47"/>
      <c r="H95" s="47"/>
      <c r="I95" s="47"/>
      <c r="J95" s="47"/>
      <c r="K95" s="47"/>
      <c r="L95" s="47"/>
      <c r="M95" s="47"/>
      <c r="N95" s="47"/>
      <c r="O95" s="47"/>
      <c r="P95" s="47"/>
      <c r="Q95" s="47"/>
      <c r="R95" s="12"/>
      <c r="S95" s="12"/>
      <c r="T95" s="43"/>
      <c r="U95" s="37"/>
    </row>
    <row r="96" customFormat="false" ht="15" hidden="false" customHeight="true" outlineLevel="0" collapsed="false">
      <c r="A96" s="43"/>
      <c r="B96" s="43"/>
      <c r="C96" s="43"/>
      <c r="D96" s="43"/>
      <c r="E96" s="12"/>
      <c r="F96" s="12"/>
      <c r="G96" s="47"/>
      <c r="H96" s="47"/>
      <c r="I96" s="47"/>
      <c r="J96" s="47"/>
      <c r="K96" s="47"/>
      <c r="L96" s="47"/>
      <c r="M96" s="47"/>
      <c r="N96" s="47"/>
      <c r="O96" s="47"/>
      <c r="P96" s="47"/>
      <c r="Q96" s="47"/>
      <c r="R96" s="12"/>
      <c r="S96" s="12"/>
      <c r="T96" s="43"/>
      <c r="U96" s="37"/>
    </row>
    <row r="97" customFormat="false" ht="15" hidden="false" customHeight="true" outlineLevel="0" collapsed="false">
      <c r="A97" s="43"/>
      <c r="B97" s="43"/>
      <c r="C97" s="43"/>
      <c r="D97" s="43"/>
      <c r="E97" s="12"/>
      <c r="F97" s="12"/>
      <c r="G97" s="47"/>
      <c r="H97" s="47"/>
      <c r="I97" s="47"/>
      <c r="J97" s="47"/>
      <c r="K97" s="47"/>
      <c r="L97" s="47"/>
      <c r="M97" s="47"/>
      <c r="N97" s="47"/>
      <c r="O97" s="47"/>
      <c r="P97" s="47"/>
      <c r="Q97" s="47"/>
      <c r="R97" s="12"/>
      <c r="S97" s="12"/>
      <c r="T97" s="43"/>
      <c r="U97" s="37"/>
    </row>
    <row r="98" customFormat="false" ht="15" hidden="false" customHeight="true" outlineLevel="0" collapsed="false">
      <c r="A98" s="43"/>
      <c r="B98" s="43"/>
      <c r="C98" s="43"/>
      <c r="D98" s="43"/>
      <c r="E98" s="12"/>
      <c r="F98" s="12"/>
      <c r="G98" s="47"/>
      <c r="H98" s="47"/>
      <c r="I98" s="47"/>
      <c r="J98" s="47"/>
      <c r="K98" s="47"/>
      <c r="L98" s="47"/>
      <c r="M98" s="47"/>
      <c r="N98" s="47"/>
      <c r="O98" s="47"/>
      <c r="P98" s="47"/>
      <c r="Q98" s="47"/>
      <c r="R98" s="12"/>
      <c r="S98" s="12"/>
      <c r="T98" s="43"/>
      <c r="U98" s="37"/>
    </row>
    <row r="99" customFormat="false" ht="15" hidden="false" customHeight="true" outlineLevel="0" collapsed="false">
      <c r="A99" s="43"/>
      <c r="B99" s="43"/>
      <c r="C99" s="43"/>
      <c r="D99" s="43"/>
      <c r="E99" s="12"/>
      <c r="F99" s="12"/>
      <c r="G99" s="47"/>
      <c r="H99" s="47"/>
      <c r="I99" s="47"/>
      <c r="J99" s="47"/>
      <c r="K99" s="47"/>
      <c r="L99" s="47"/>
      <c r="M99" s="47"/>
      <c r="N99" s="47"/>
      <c r="O99" s="47"/>
      <c r="P99" s="47"/>
      <c r="Q99" s="47"/>
      <c r="R99" s="12"/>
      <c r="S99" s="12"/>
      <c r="T99" s="43"/>
      <c r="U99" s="37"/>
    </row>
    <row r="100" customFormat="false" ht="15" hidden="false" customHeight="true" outlineLevel="0" collapsed="false">
      <c r="A100" s="43"/>
      <c r="B100" s="43"/>
      <c r="C100" s="43"/>
      <c r="D100" s="43"/>
      <c r="E100" s="12"/>
      <c r="F100" s="12"/>
      <c r="G100" s="47"/>
      <c r="H100" s="47"/>
      <c r="I100" s="47"/>
      <c r="J100" s="47"/>
      <c r="K100" s="47"/>
      <c r="L100" s="47"/>
      <c r="M100" s="47"/>
      <c r="N100" s="47"/>
      <c r="O100" s="47"/>
      <c r="P100" s="47"/>
      <c r="Q100" s="47"/>
      <c r="R100" s="12"/>
      <c r="S100" s="12"/>
      <c r="T100" s="43"/>
      <c r="U100" s="37"/>
    </row>
    <row r="101" customFormat="false" ht="15" hidden="false" customHeight="true" outlineLevel="0" collapsed="false">
      <c r="A101" s="43"/>
      <c r="B101" s="43"/>
      <c r="C101" s="43"/>
      <c r="D101" s="43"/>
      <c r="E101" s="12"/>
      <c r="F101" s="12"/>
      <c r="G101" s="47"/>
      <c r="H101" s="47"/>
      <c r="I101" s="47"/>
      <c r="J101" s="47"/>
      <c r="K101" s="47"/>
      <c r="L101" s="47"/>
      <c r="M101" s="47"/>
      <c r="N101" s="47"/>
      <c r="O101" s="47"/>
      <c r="P101" s="47"/>
      <c r="Q101" s="47"/>
      <c r="R101" s="12"/>
      <c r="S101" s="12"/>
      <c r="T101" s="43"/>
      <c r="U101" s="37"/>
    </row>
    <row r="102" customFormat="false" ht="15" hidden="false" customHeight="true" outlineLevel="0" collapsed="false">
      <c r="A102" s="43"/>
      <c r="B102" s="43"/>
      <c r="C102" s="43"/>
      <c r="D102" s="43"/>
      <c r="E102" s="12"/>
      <c r="F102" s="12"/>
      <c r="G102" s="47"/>
      <c r="H102" s="47"/>
      <c r="I102" s="47"/>
      <c r="J102" s="47"/>
      <c r="K102" s="47"/>
      <c r="L102" s="47"/>
      <c r="M102" s="47"/>
      <c r="N102" s="47"/>
      <c r="O102" s="47"/>
      <c r="P102" s="47"/>
      <c r="Q102" s="47"/>
      <c r="R102" s="12"/>
      <c r="S102" s="12"/>
      <c r="T102" s="43"/>
      <c r="U102" s="37"/>
    </row>
    <row r="103" customFormat="false" ht="15" hidden="false" customHeight="true" outlineLevel="0" collapsed="false">
      <c r="A103" s="43"/>
      <c r="B103" s="43"/>
      <c r="C103" s="43"/>
      <c r="D103" s="43"/>
      <c r="E103" s="12"/>
      <c r="F103" s="12"/>
      <c r="G103" s="47"/>
      <c r="H103" s="47"/>
      <c r="I103" s="47"/>
      <c r="J103" s="47"/>
      <c r="K103" s="47"/>
      <c r="L103" s="47"/>
      <c r="M103" s="47"/>
      <c r="N103" s="47"/>
      <c r="O103" s="47"/>
      <c r="P103" s="47"/>
      <c r="Q103" s="47"/>
      <c r="R103" s="12"/>
      <c r="S103" s="12"/>
      <c r="T103" s="43"/>
      <c r="U103" s="37"/>
    </row>
    <row r="104" customFormat="false" ht="15" hidden="false" customHeight="true" outlineLevel="0" collapsed="false">
      <c r="A104" s="43"/>
      <c r="B104" s="43"/>
      <c r="C104" s="43"/>
      <c r="D104" s="43"/>
      <c r="E104" s="12"/>
      <c r="F104" s="12"/>
      <c r="G104" s="47"/>
      <c r="H104" s="47"/>
      <c r="I104" s="47"/>
      <c r="J104" s="47"/>
      <c r="K104" s="47"/>
      <c r="L104" s="47"/>
      <c r="M104" s="47"/>
      <c r="N104" s="47"/>
      <c r="O104" s="47"/>
      <c r="P104" s="47"/>
      <c r="Q104" s="47"/>
      <c r="R104" s="12"/>
      <c r="S104" s="12"/>
      <c r="T104" s="43"/>
      <c r="U104" s="37"/>
    </row>
    <row r="105" customFormat="false" ht="15" hidden="false" customHeight="true" outlineLevel="0" collapsed="false">
      <c r="A105" s="43"/>
      <c r="B105" s="43"/>
      <c r="C105" s="43"/>
      <c r="D105" s="43"/>
      <c r="E105" s="12"/>
      <c r="F105" s="12"/>
      <c r="G105" s="47"/>
      <c r="H105" s="47"/>
      <c r="I105" s="47"/>
      <c r="J105" s="47"/>
      <c r="K105" s="47"/>
      <c r="L105" s="47"/>
      <c r="M105" s="47"/>
      <c r="N105" s="47"/>
      <c r="O105" s="47"/>
      <c r="P105" s="47"/>
      <c r="Q105" s="47"/>
      <c r="R105" s="12"/>
      <c r="S105" s="12"/>
      <c r="T105" s="43"/>
      <c r="U105" s="37"/>
    </row>
    <row r="106" customFormat="false" ht="15" hidden="false" customHeight="true" outlineLevel="0" collapsed="false">
      <c r="A106" s="43"/>
      <c r="B106" s="43"/>
      <c r="C106" s="43"/>
      <c r="D106" s="43"/>
      <c r="E106" s="12"/>
      <c r="F106" s="12"/>
      <c r="G106" s="47"/>
      <c r="H106" s="47"/>
      <c r="I106" s="47"/>
      <c r="J106" s="47"/>
      <c r="K106" s="47"/>
      <c r="L106" s="47"/>
      <c r="M106" s="47"/>
      <c r="N106" s="47"/>
      <c r="O106" s="47"/>
      <c r="P106" s="47"/>
      <c r="Q106" s="47"/>
      <c r="R106" s="12"/>
      <c r="S106" s="12"/>
      <c r="T106" s="43"/>
      <c r="U106" s="37"/>
    </row>
    <row r="107" customFormat="false" ht="15" hidden="false" customHeight="true" outlineLevel="0" collapsed="false">
      <c r="A107" s="43"/>
      <c r="B107" s="43"/>
      <c r="C107" s="43"/>
      <c r="D107" s="43"/>
      <c r="E107" s="12"/>
      <c r="F107" s="12"/>
      <c r="G107" s="47"/>
      <c r="H107" s="47"/>
      <c r="I107" s="47"/>
      <c r="J107" s="47"/>
      <c r="K107" s="47"/>
      <c r="L107" s="47"/>
      <c r="M107" s="47"/>
      <c r="N107" s="47"/>
      <c r="O107" s="47"/>
      <c r="P107" s="47"/>
      <c r="Q107" s="47"/>
      <c r="R107" s="12"/>
      <c r="S107" s="12"/>
      <c r="T107" s="43"/>
      <c r="U107" s="37"/>
    </row>
    <row r="108" customFormat="false" ht="15" hidden="false" customHeight="true" outlineLevel="0" collapsed="false">
      <c r="A108" s="43"/>
      <c r="B108" s="43"/>
      <c r="C108" s="43"/>
      <c r="D108" s="43"/>
      <c r="E108" s="12"/>
      <c r="F108" s="12"/>
      <c r="G108" s="47"/>
      <c r="H108" s="47"/>
      <c r="I108" s="47"/>
      <c r="J108" s="47"/>
      <c r="K108" s="47"/>
      <c r="L108" s="47"/>
      <c r="M108" s="47"/>
      <c r="N108" s="47"/>
      <c r="O108" s="47"/>
      <c r="P108" s="47"/>
      <c r="Q108" s="47"/>
      <c r="R108" s="12"/>
      <c r="S108" s="12"/>
      <c r="T108" s="43"/>
      <c r="U108" s="37"/>
    </row>
    <row r="109" customFormat="false" ht="15" hidden="false" customHeight="true" outlineLevel="0" collapsed="false">
      <c r="A109" s="43"/>
      <c r="B109" s="43"/>
      <c r="C109" s="43"/>
      <c r="D109" s="43"/>
      <c r="E109" s="12"/>
      <c r="F109" s="12"/>
      <c r="G109" s="47"/>
      <c r="H109" s="47"/>
      <c r="I109" s="47"/>
      <c r="J109" s="47"/>
      <c r="K109" s="47"/>
      <c r="L109" s="47"/>
      <c r="M109" s="47"/>
      <c r="N109" s="47"/>
      <c r="O109" s="47"/>
      <c r="P109" s="47"/>
      <c r="Q109" s="47"/>
      <c r="R109" s="12"/>
      <c r="S109" s="12"/>
      <c r="T109" s="43"/>
      <c r="U109" s="37"/>
    </row>
    <row r="110" customFormat="false" ht="15" hidden="false" customHeight="true" outlineLevel="0" collapsed="false">
      <c r="A110" s="43"/>
      <c r="B110" s="43"/>
      <c r="C110" s="43"/>
      <c r="D110" s="43"/>
      <c r="E110" s="12"/>
      <c r="F110" s="12"/>
      <c r="G110" s="47"/>
      <c r="H110" s="47"/>
      <c r="I110" s="47"/>
      <c r="J110" s="47"/>
      <c r="K110" s="47"/>
      <c r="L110" s="47"/>
      <c r="M110" s="47"/>
      <c r="N110" s="47"/>
      <c r="O110" s="47"/>
      <c r="P110" s="47"/>
      <c r="Q110" s="47"/>
      <c r="R110" s="12"/>
      <c r="S110" s="12"/>
      <c r="T110" s="43"/>
      <c r="U110" s="37"/>
    </row>
    <row r="111" customFormat="false" ht="15" hidden="false" customHeight="true" outlineLevel="0" collapsed="false">
      <c r="A111" s="43"/>
      <c r="B111" s="43"/>
      <c r="C111" s="43"/>
      <c r="D111" s="43"/>
      <c r="E111" s="12"/>
      <c r="F111" s="12"/>
      <c r="G111" s="47"/>
      <c r="H111" s="47"/>
      <c r="I111" s="47"/>
      <c r="J111" s="47"/>
      <c r="K111" s="47"/>
      <c r="L111" s="47"/>
      <c r="M111" s="47"/>
      <c r="N111" s="47"/>
      <c r="O111" s="47"/>
      <c r="P111" s="47"/>
      <c r="Q111" s="47"/>
      <c r="R111" s="12"/>
      <c r="S111" s="12"/>
      <c r="T111" s="43"/>
      <c r="U111" s="37"/>
    </row>
    <row r="112" customFormat="false" ht="15" hidden="false" customHeight="true" outlineLevel="0" collapsed="false">
      <c r="A112" s="43"/>
      <c r="B112" s="43"/>
      <c r="C112" s="43"/>
      <c r="D112" s="43"/>
      <c r="E112" s="12"/>
      <c r="F112" s="12"/>
      <c r="G112" s="47"/>
      <c r="H112" s="47"/>
      <c r="I112" s="47"/>
      <c r="J112" s="47"/>
      <c r="K112" s="47"/>
      <c r="L112" s="47"/>
      <c r="M112" s="47"/>
      <c r="N112" s="47"/>
      <c r="O112" s="47"/>
      <c r="P112" s="47"/>
      <c r="Q112" s="47"/>
      <c r="R112" s="12"/>
      <c r="S112" s="12"/>
      <c r="T112" s="43"/>
      <c r="U112" s="37"/>
    </row>
    <row r="113" customFormat="false" ht="15" hidden="false" customHeight="true" outlineLevel="0" collapsed="false">
      <c r="A113" s="43"/>
      <c r="B113" s="43"/>
      <c r="C113" s="43"/>
      <c r="D113" s="43"/>
      <c r="E113" s="12"/>
      <c r="F113" s="12"/>
      <c r="G113" s="47"/>
      <c r="H113" s="47"/>
      <c r="I113" s="47"/>
      <c r="J113" s="47"/>
      <c r="K113" s="47"/>
      <c r="L113" s="47"/>
      <c r="M113" s="47"/>
      <c r="N113" s="47"/>
      <c r="O113" s="47"/>
      <c r="P113" s="47"/>
      <c r="Q113" s="47"/>
      <c r="R113" s="12"/>
      <c r="S113" s="12"/>
      <c r="T113" s="43"/>
      <c r="U113" s="37"/>
    </row>
    <row r="114" customFormat="false" ht="15" hidden="false" customHeight="true" outlineLevel="0" collapsed="false">
      <c r="A114" s="43"/>
      <c r="B114" s="43"/>
      <c r="C114" s="43"/>
      <c r="D114" s="43"/>
      <c r="E114" s="12"/>
      <c r="F114" s="12"/>
      <c r="G114" s="47"/>
      <c r="H114" s="47"/>
      <c r="I114" s="47"/>
      <c r="J114" s="47"/>
      <c r="K114" s="47"/>
      <c r="L114" s="47"/>
      <c r="M114" s="47"/>
      <c r="N114" s="47"/>
      <c r="O114" s="47"/>
      <c r="P114" s="47"/>
      <c r="Q114" s="47"/>
      <c r="R114" s="12"/>
      <c r="S114" s="12"/>
      <c r="T114" s="43"/>
      <c r="U114" s="37"/>
    </row>
    <row r="115" customFormat="false" ht="15" hidden="false" customHeight="true" outlineLevel="0" collapsed="false">
      <c r="A115" s="43"/>
      <c r="B115" s="43"/>
      <c r="C115" s="43"/>
      <c r="D115" s="43"/>
      <c r="E115" s="12"/>
      <c r="F115" s="12"/>
      <c r="G115" s="47"/>
      <c r="H115" s="47"/>
      <c r="I115" s="47"/>
      <c r="J115" s="47"/>
      <c r="K115" s="47"/>
      <c r="L115" s="47"/>
      <c r="M115" s="47"/>
      <c r="N115" s="47"/>
      <c r="O115" s="47"/>
      <c r="P115" s="47"/>
      <c r="Q115" s="47"/>
      <c r="R115" s="12"/>
      <c r="S115" s="12"/>
      <c r="T115" s="43"/>
      <c r="U115" s="37"/>
    </row>
    <row r="116" customFormat="false" ht="15" hidden="false" customHeight="true" outlineLevel="0" collapsed="false">
      <c r="A116" s="43"/>
      <c r="B116" s="43"/>
      <c r="C116" s="43"/>
      <c r="D116" s="43"/>
      <c r="E116" s="12"/>
      <c r="F116" s="12"/>
      <c r="G116" s="47"/>
      <c r="H116" s="47"/>
      <c r="I116" s="47"/>
      <c r="J116" s="47"/>
      <c r="K116" s="47"/>
      <c r="L116" s="47"/>
      <c r="M116" s="47"/>
      <c r="N116" s="47"/>
      <c r="O116" s="47"/>
      <c r="P116" s="47"/>
      <c r="Q116" s="47"/>
      <c r="R116" s="12"/>
      <c r="S116" s="12"/>
      <c r="T116" s="43"/>
      <c r="U116" s="37"/>
    </row>
    <row r="117" customFormat="false" ht="15" hidden="false" customHeight="true" outlineLevel="0" collapsed="false">
      <c r="A117" s="43"/>
      <c r="B117" s="43"/>
      <c r="C117" s="43"/>
      <c r="D117" s="43"/>
      <c r="E117" s="12"/>
      <c r="F117" s="12"/>
      <c r="G117" s="47"/>
      <c r="H117" s="47"/>
      <c r="I117" s="47"/>
      <c r="J117" s="47"/>
      <c r="K117" s="47"/>
      <c r="L117" s="47"/>
      <c r="M117" s="47"/>
      <c r="N117" s="47"/>
      <c r="O117" s="47"/>
      <c r="P117" s="47"/>
      <c r="Q117" s="47"/>
      <c r="R117" s="12"/>
      <c r="S117" s="12"/>
      <c r="T117" s="43"/>
      <c r="U117" s="37"/>
    </row>
    <row r="118" customFormat="false" ht="15" hidden="false" customHeight="true" outlineLevel="0" collapsed="false">
      <c r="A118" s="43"/>
      <c r="B118" s="43"/>
      <c r="C118" s="43"/>
      <c r="D118" s="43"/>
      <c r="E118" s="12"/>
      <c r="F118" s="12"/>
      <c r="G118" s="47"/>
      <c r="H118" s="47"/>
      <c r="I118" s="47"/>
      <c r="J118" s="47"/>
      <c r="K118" s="47"/>
      <c r="L118" s="47"/>
      <c r="M118" s="47"/>
      <c r="N118" s="47"/>
      <c r="O118" s="47"/>
      <c r="P118" s="47"/>
      <c r="Q118" s="47"/>
      <c r="R118" s="12"/>
      <c r="S118" s="12"/>
      <c r="T118" s="43"/>
      <c r="U118" s="37"/>
    </row>
    <row r="119" customFormat="false" ht="15" hidden="false" customHeight="true" outlineLevel="0" collapsed="false">
      <c r="A119" s="43"/>
      <c r="B119" s="43"/>
      <c r="C119" s="43"/>
      <c r="D119" s="43"/>
      <c r="E119" s="12"/>
      <c r="F119" s="12"/>
      <c r="G119" s="47"/>
      <c r="H119" s="47"/>
      <c r="I119" s="47"/>
      <c r="J119" s="47"/>
      <c r="K119" s="47"/>
      <c r="L119" s="47"/>
      <c r="M119" s="47"/>
      <c r="N119" s="47"/>
      <c r="O119" s="47"/>
      <c r="P119" s="47"/>
      <c r="Q119" s="47"/>
      <c r="R119" s="12"/>
      <c r="S119" s="12"/>
      <c r="T119" s="43"/>
      <c r="U119" s="37"/>
    </row>
    <row r="120" customFormat="false" ht="15" hidden="false" customHeight="true" outlineLevel="0" collapsed="false">
      <c r="A120" s="43"/>
      <c r="B120" s="43"/>
      <c r="C120" s="43"/>
      <c r="D120" s="43"/>
      <c r="E120" s="12"/>
      <c r="F120" s="12"/>
      <c r="G120" s="47"/>
      <c r="H120" s="47"/>
      <c r="I120" s="47"/>
      <c r="J120" s="47"/>
      <c r="K120" s="47"/>
      <c r="L120" s="47"/>
      <c r="M120" s="47"/>
      <c r="N120" s="47"/>
      <c r="O120" s="47"/>
      <c r="P120" s="47"/>
      <c r="Q120" s="47"/>
      <c r="R120" s="12"/>
      <c r="S120" s="12"/>
      <c r="T120" s="43"/>
      <c r="U120" s="37"/>
    </row>
    <row r="121" customFormat="false" ht="15" hidden="false" customHeight="true" outlineLevel="0" collapsed="false">
      <c r="A121" s="43"/>
      <c r="B121" s="43"/>
      <c r="C121" s="43"/>
      <c r="D121" s="43"/>
      <c r="E121" s="12"/>
      <c r="F121" s="12"/>
      <c r="G121" s="47"/>
      <c r="H121" s="47"/>
      <c r="I121" s="47"/>
      <c r="J121" s="47"/>
      <c r="K121" s="47"/>
      <c r="L121" s="47"/>
      <c r="M121" s="47"/>
      <c r="N121" s="47"/>
      <c r="O121" s="47"/>
      <c r="P121" s="47"/>
      <c r="Q121" s="47"/>
      <c r="R121" s="12"/>
      <c r="S121" s="12"/>
      <c r="T121" s="43"/>
      <c r="U121" s="37"/>
    </row>
    <row r="122" customFormat="false" ht="15" hidden="false" customHeight="true" outlineLevel="0" collapsed="false">
      <c r="A122" s="43"/>
      <c r="B122" s="43"/>
      <c r="C122" s="43"/>
      <c r="D122" s="43"/>
      <c r="E122" s="12"/>
      <c r="F122" s="12"/>
      <c r="G122" s="47"/>
      <c r="H122" s="47"/>
      <c r="I122" s="47"/>
      <c r="J122" s="47"/>
      <c r="K122" s="47"/>
      <c r="L122" s="47"/>
      <c r="M122" s="47"/>
      <c r="N122" s="47"/>
      <c r="O122" s="47"/>
      <c r="P122" s="47"/>
      <c r="Q122" s="47"/>
      <c r="R122" s="12"/>
      <c r="S122" s="12"/>
      <c r="T122" s="43"/>
      <c r="U122" s="37"/>
    </row>
    <row r="123" customFormat="false" ht="15" hidden="false" customHeight="true" outlineLevel="0" collapsed="false">
      <c r="A123" s="43"/>
      <c r="B123" s="43"/>
      <c r="C123" s="43"/>
      <c r="D123" s="43"/>
      <c r="E123" s="12"/>
      <c r="F123" s="12"/>
      <c r="G123" s="47"/>
      <c r="H123" s="47"/>
      <c r="I123" s="47"/>
      <c r="J123" s="47"/>
      <c r="K123" s="47"/>
      <c r="L123" s="47"/>
      <c r="M123" s="47"/>
      <c r="N123" s="47"/>
      <c r="O123" s="47"/>
      <c r="P123" s="47"/>
      <c r="Q123" s="47"/>
      <c r="R123" s="12"/>
      <c r="S123" s="12"/>
      <c r="T123" s="43"/>
      <c r="U123" s="37"/>
    </row>
    <row r="124" customFormat="false" ht="15" hidden="false" customHeight="true" outlineLevel="0" collapsed="false">
      <c r="A124" s="43"/>
      <c r="B124" s="43"/>
      <c r="C124" s="43"/>
      <c r="D124" s="43"/>
      <c r="E124" s="12"/>
      <c r="F124" s="12"/>
      <c r="G124" s="47"/>
      <c r="H124" s="47"/>
      <c r="I124" s="47"/>
      <c r="J124" s="47"/>
      <c r="K124" s="47"/>
      <c r="L124" s="47"/>
      <c r="M124" s="47"/>
      <c r="N124" s="47"/>
      <c r="O124" s="47"/>
      <c r="P124" s="47"/>
      <c r="Q124" s="47"/>
      <c r="R124" s="12"/>
      <c r="S124" s="12"/>
      <c r="T124" s="43"/>
      <c r="U124" s="37"/>
    </row>
    <row r="125" customFormat="false" ht="15" hidden="false" customHeight="true" outlineLevel="0" collapsed="false">
      <c r="A125" s="43"/>
      <c r="B125" s="43"/>
      <c r="C125" s="43"/>
      <c r="D125" s="43"/>
      <c r="E125" s="12"/>
      <c r="F125" s="12"/>
      <c r="G125" s="47"/>
      <c r="H125" s="47"/>
      <c r="I125" s="47"/>
      <c r="J125" s="47"/>
      <c r="K125" s="47"/>
      <c r="L125" s="47"/>
      <c r="M125" s="47"/>
      <c r="N125" s="47"/>
      <c r="O125" s="47"/>
      <c r="P125" s="47"/>
      <c r="Q125" s="47"/>
      <c r="R125" s="12"/>
      <c r="S125" s="12"/>
      <c r="T125" s="43"/>
      <c r="U125" s="37"/>
    </row>
    <row r="126" customFormat="false" ht="15" hidden="false" customHeight="true" outlineLevel="0" collapsed="false">
      <c r="A126" s="43"/>
      <c r="B126" s="43"/>
      <c r="C126" s="43"/>
      <c r="D126" s="43"/>
      <c r="E126" s="12"/>
      <c r="F126" s="12"/>
      <c r="G126" s="47"/>
      <c r="H126" s="47"/>
      <c r="I126" s="47"/>
      <c r="J126" s="47"/>
      <c r="K126" s="47"/>
      <c r="L126" s="47"/>
      <c r="M126" s="47"/>
      <c r="N126" s="47"/>
      <c r="O126" s="47"/>
      <c r="P126" s="47"/>
      <c r="Q126" s="47"/>
      <c r="R126" s="12"/>
      <c r="S126" s="12"/>
      <c r="T126" s="43"/>
      <c r="U126" s="37"/>
    </row>
    <row r="127" customFormat="false" ht="15" hidden="false" customHeight="true" outlineLevel="0" collapsed="false">
      <c r="A127" s="43"/>
      <c r="B127" s="43"/>
      <c r="C127" s="43"/>
      <c r="D127" s="43"/>
      <c r="E127" s="12"/>
      <c r="F127" s="12"/>
      <c r="G127" s="47"/>
      <c r="H127" s="47"/>
      <c r="I127" s="47"/>
      <c r="J127" s="47"/>
      <c r="K127" s="47"/>
      <c r="L127" s="47"/>
      <c r="M127" s="47"/>
      <c r="N127" s="47"/>
      <c r="O127" s="47"/>
      <c r="P127" s="47"/>
      <c r="Q127" s="47"/>
      <c r="R127" s="12"/>
      <c r="S127" s="12"/>
      <c r="T127" s="43"/>
      <c r="U127" s="37"/>
    </row>
    <row r="128" customFormat="false" ht="15" hidden="false" customHeight="true" outlineLevel="0" collapsed="false">
      <c r="A128" s="43"/>
      <c r="B128" s="43"/>
      <c r="C128" s="43"/>
      <c r="D128" s="43"/>
      <c r="E128" s="12"/>
      <c r="F128" s="12"/>
      <c r="G128" s="47"/>
      <c r="H128" s="47"/>
      <c r="I128" s="47"/>
      <c r="J128" s="47"/>
      <c r="K128" s="47"/>
      <c r="L128" s="47"/>
      <c r="M128" s="47"/>
      <c r="N128" s="47"/>
      <c r="O128" s="47"/>
      <c r="P128" s="47"/>
      <c r="Q128" s="47"/>
      <c r="R128" s="12"/>
      <c r="S128" s="12"/>
      <c r="T128" s="43"/>
      <c r="U128" s="37"/>
    </row>
    <row r="129" customFormat="false" ht="15" hidden="false" customHeight="true" outlineLevel="0" collapsed="false">
      <c r="A129" s="43"/>
      <c r="B129" s="43"/>
      <c r="C129" s="43"/>
      <c r="D129" s="43"/>
      <c r="E129" s="12"/>
      <c r="F129" s="12"/>
      <c r="G129" s="47"/>
      <c r="H129" s="47"/>
      <c r="I129" s="47"/>
      <c r="J129" s="47"/>
      <c r="K129" s="47"/>
      <c r="L129" s="47"/>
      <c r="M129" s="47"/>
      <c r="N129" s="47"/>
      <c r="O129" s="47"/>
      <c r="P129" s="47"/>
      <c r="Q129" s="47"/>
      <c r="R129" s="12"/>
      <c r="S129" s="12"/>
      <c r="T129" s="43"/>
      <c r="U129" s="37"/>
    </row>
    <row r="130" customFormat="false" ht="15" hidden="false" customHeight="true" outlineLevel="0" collapsed="false">
      <c r="A130" s="43"/>
      <c r="B130" s="43"/>
      <c r="C130" s="43"/>
      <c r="D130" s="43"/>
      <c r="E130" s="12"/>
      <c r="F130" s="12"/>
      <c r="G130" s="47"/>
      <c r="H130" s="47"/>
      <c r="I130" s="47"/>
      <c r="J130" s="47"/>
      <c r="K130" s="47"/>
      <c r="L130" s="47"/>
      <c r="M130" s="47"/>
      <c r="N130" s="47"/>
      <c r="O130" s="47"/>
      <c r="P130" s="47"/>
      <c r="Q130" s="47"/>
      <c r="R130" s="12"/>
      <c r="S130" s="12"/>
      <c r="T130" s="43"/>
      <c r="U130" s="37"/>
    </row>
    <row r="131" customFormat="false" ht="15" hidden="false" customHeight="true" outlineLevel="0" collapsed="false">
      <c r="A131" s="43"/>
      <c r="B131" s="43"/>
      <c r="C131" s="43"/>
      <c r="D131" s="43"/>
      <c r="E131" s="12"/>
      <c r="F131" s="12"/>
      <c r="G131" s="47"/>
      <c r="H131" s="47"/>
      <c r="I131" s="47"/>
      <c r="J131" s="47"/>
      <c r="K131" s="47"/>
      <c r="L131" s="47"/>
      <c r="M131" s="47"/>
      <c r="N131" s="47"/>
      <c r="O131" s="47"/>
      <c r="P131" s="47"/>
      <c r="Q131" s="47"/>
      <c r="R131" s="12"/>
      <c r="S131" s="12"/>
      <c r="T131" s="43"/>
      <c r="U131" s="37"/>
    </row>
    <row r="132" customFormat="false" ht="15" hidden="false" customHeight="true" outlineLevel="0" collapsed="false">
      <c r="A132" s="43"/>
      <c r="B132" s="43"/>
      <c r="C132" s="43"/>
      <c r="D132" s="43"/>
      <c r="E132" s="12"/>
      <c r="F132" s="12"/>
      <c r="G132" s="47"/>
      <c r="H132" s="47"/>
      <c r="I132" s="47"/>
      <c r="J132" s="47"/>
      <c r="K132" s="47"/>
      <c r="L132" s="47"/>
      <c r="M132" s="47"/>
      <c r="N132" s="47"/>
      <c r="O132" s="47"/>
      <c r="P132" s="47"/>
      <c r="Q132" s="47"/>
      <c r="R132" s="12"/>
      <c r="S132" s="12"/>
      <c r="T132" s="43"/>
      <c r="U132" s="37"/>
    </row>
    <row r="133" customFormat="false" ht="15" hidden="false" customHeight="true" outlineLevel="0" collapsed="false">
      <c r="A133" s="43"/>
      <c r="B133" s="43"/>
      <c r="C133" s="43"/>
      <c r="D133" s="43"/>
      <c r="E133" s="12"/>
      <c r="F133" s="12"/>
      <c r="G133" s="47"/>
      <c r="H133" s="47"/>
      <c r="I133" s="47"/>
      <c r="J133" s="47"/>
      <c r="K133" s="47"/>
      <c r="L133" s="47"/>
      <c r="M133" s="47"/>
      <c r="N133" s="47"/>
      <c r="O133" s="47"/>
      <c r="P133" s="47"/>
      <c r="Q133" s="47"/>
      <c r="R133" s="12"/>
      <c r="S133" s="12"/>
      <c r="T133" s="43"/>
      <c r="U133" s="37"/>
    </row>
    <row r="134" customFormat="false" ht="15" hidden="false" customHeight="true" outlineLevel="0" collapsed="false">
      <c r="A134" s="43"/>
      <c r="B134" s="43"/>
      <c r="C134" s="43"/>
      <c r="D134" s="43"/>
      <c r="E134" s="12"/>
      <c r="F134" s="12"/>
      <c r="G134" s="47"/>
      <c r="H134" s="47"/>
      <c r="I134" s="47"/>
      <c r="J134" s="47"/>
      <c r="K134" s="47"/>
      <c r="L134" s="47"/>
      <c r="M134" s="47"/>
      <c r="N134" s="47"/>
      <c r="O134" s="47"/>
      <c r="P134" s="47"/>
      <c r="Q134" s="47"/>
      <c r="R134" s="12"/>
      <c r="S134" s="12"/>
      <c r="T134" s="43"/>
      <c r="U134" s="37"/>
    </row>
    <row r="135" customFormat="false" ht="15" hidden="false" customHeight="true" outlineLevel="0" collapsed="false">
      <c r="A135" s="43"/>
      <c r="B135" s="43"/>
      <c r="C135" s="43"/>
      <c r="D135" s="43"/>
      <c r="E135" s="12"/>
      <c r="F135" s="12"/>
      <c r="G135" s="47"/>
      <c r="H135" s="47"/>
      <c r="I135" s="47"/>
      <c r="J135" s="47"/>
      <c r="K135" s="47"/>
      <c r="L135" s="47"/>
      <c r="M135" s="47"/>
      <c r="N135" s="47"/>
      <c r="O135" s="47"/>
      <c r="P135" s="47"/>
      <c r="Q135" s="47"/>
      <c r="R135" s="12"/>
      <c r="S135" s="12"/>
      <c r="T135" s="43"/>
      <c r="U135" s="37"/>
    </row>
    <row r="136" customFormat="false" ht="15" hidden="false" customHeight="true" outlineLevel="0" collapsed="false">
      <c r="A136" s="43"/>
      <c r="B136" s="43"/>
      <c r="C136" s="43"/>
      <c r="D136" s="43"/>
      <c r="E136" s="12"/>
      <c r="F136" s="12"/>
      <c r="G136" s="47"/>
      <c r="H136" s="47"/>
      <c r="I136" s="47"/>
      <c r="J136" s="47"/>
      <c r="K136" s="47"/>
      <c r="L136" s="47"/>
      <c r="M136" s="47"/>
      <c r="N136" s="47"/>
      <c r="O136" s="47"/>
      <c r="P136" s="47"/>
      <c r="Q136" s="47"/>
      <c r="R136" s="12"/>
      <c r="S136" s="12"/>
      <c r="T136" s="43"/>
      <c r="U136" s="37"/>
    </row>
    <row r="137" customFormat="false" ht="15" hidden="false" customHeight="true" outlineLevel="0" collapsed="false">
      <c r="A137" s="43"/>
      <c r="B137" s="43"/>
      <c r="C137" s="43"/>
      <c r="D137" s="43"/>
      <c r="E137" s="12"/>
      <c r="F137" s="12"/>
      <c r="G137" s="47"/>
      <c r="H137" s="47"/>
      <c r="I137" s="47"/>
      <c r="J137" s="47"/>
      <c r="K137" s="47"/>
      <c r="L137" s="47"/>
      <c r="M137" s="47"/>
      <c r="N137" s="47"/>
      <c r="O137" s="47"/>
      <c r="P137" s="47"/>
      <c r="Q137" s="47"/>
      <c r="R137" s="12"/>
      <c r="S137" s="12"/>
      <c r="T137" s="43"/>
      <c r="U137" s="37"/>
    </row>
    <row r="138" customFormat="false" ht="15" hidden="false" customHeight="true" outlineLevel="0" collapsed="false">
      <c r="A138" s="43"/>
      <c r="B138" s="43"/>
      <c r="C138" s="43"/>
      <c r="D138" s="43"/>
      <c r="E138" s="12"/>
      <c r="F138" s="12"/>
      <c r="G138" s="47"/>
      <c r="H138" s="47"/>
      <c r="I138" s="47"/>
      <c r="J138" s="47"/>
      <c r="K138" s="47"/>
      <c r="L138" s="47"/>
      <c r="M138" s="47"/>
      <c r="N138" s="47"/>
      <c r="O138" s="47"/>
      <c r="P138" s="47"/>
      <c r="Q138" s="47"/>
      <c r="R138" s="12"/>
      <c r="S138" s="12"/>
      <c r="T138" s="43"/>
      <c r="U138" s="37"/>
    </row>
    <row r="139" customFormat="false" ht="15" hidden="false" customHeight="true" outlineLevel="0" collapsed="false">
      <c r="A139" s="43"/>
      <c r="B139" s="43"/>
      <c r="C139" s="43"/>
      <c r="D139" s="43"/>
      <c r="E139" s="12"/>
      <c r="F139" s="12"/>
      <c r="G139" s="47"/>
      <c r="H139" s="47"/>
      <c r="I139" s="47"/>
      <c r="J139" s="47"/>
      <c r="K139" s="47"/>
      <c r="L139" s="47"/>
      <c r="M139" s="47"/>
      <c r="N139" s="47"/>
      <c r="O139" s="47"/>
      <c r="P139" s="47"/>
      <c r="Q139" s="47"/>
      <c r="R139" s="12"/>
      <c r="S139" s="12"/>
      <c r="T139" s="43"/>
      <c r="U139" s="37"/>
    </row>
    <row r="140" customFormat="false" ht="15" hidden="false" customHeight="true" outlineLevel="0" collapsed="false">
      <c r="A140" s="43"/>
      <c r="B140" s="43"/>
      <c r="C140" s="43"/>
      <c r="D140" s="43"/>
      <c r="E140" s="12"/>
      <c r="F140" s="12"/>
      <c r="G140" s="47"/>
      <c r="H140" s="47"/>
      <c r="I140" s="47"/>
      <c r="J140" s="47"/>
      <c r="K140" s="47"/>
      <c r="L140" s="47"/>
      <c r="M140" s="47"/>
      <c r="N140" s="47"/>
      <c r="O140" s="47"/>
      <c r="P140" s="47"/>
      <c r="Q140" s="47"/>
      <c r="R140" s="12"/>
      <c r="S140" s="12"/>
      <c r="T140" s="43"/>
      <c r="U140" s="37"/>
    </row>
    <row r="141" customFormat="false" ht="15" hidden="false" customHeight="true" outlineLevel="0" collapsed="false">
      <c r="A141" s="43"/>
      <c r="B141" s="43"/>
      <c r="C141" s="43"/>
      <c r="D141" s="43"/>
      <c r="E141" s="12"/>
      <c r="F141" s="12"/>
      <c r="G141" s="47"/>
      <c r="H141" s="47"/>
      <c r="I141" s="47"/>
      <c r="J141" s="47"/>
      <c r="K141" s="47"/>
      <c r="L141" s="47"/>
      <c r="M141" s="47"/>
      <c r="N141" s="47"/>
      <c r="O141" s="47"/>
      <c r="P141" s="47"/>
      <c r="Q141" s="47"/>
      <c r="R141" s="12"/>
      <c r="S141" s="12"/>
      <c r="T141" s="43"/>
      <c r="U141" s="37"/>
    </row>
    <row r="142" customFormat="false" ht="15" hidden="false" customHeight="true" outlineLevel="0" collapsed="false">
      <c r="A142" s="43"/>
      <c r="B142" s="43"/>
      <c r="C142" s="43"/>
      <c r="D142" s="43"/>
      <c r="E142" s="12"/>
      <c r="F142" s="12"/>
      <c r="G142" s="47"/>
      <c r="H142" s="47"/>
      <c r="I142" s="47"/>
      <c r="J142" s="47"/>
      <c r="K142" s="47"/>
      <c r="L142" s="47"/>
      <c r="M142" s="47"/>
      <c r="N142" s="47"/>
      <c r="O142" s="47"/>
      <c r="P142" s="47"/>
      <c r="Q142" s="47"/>
      <c r="R142" s="12"/>
      <c r="S142" s="12"/>
      <c r="T142" s="43"/>
      <c r="U142" s="37"/>
    </row>
    <row r="143" customFormat="false" ht="15" hidden="false" customHeight="true" outlineLevel="0" collapsed="false">
      <c r="A143" s="43"/>
      <c r="B143" s="43"/>
      <c r="C143" s="43"/>
      <c r="D143" s="43"/>
      <c r="E143" s="12"/>
      <c r="F143" s="12"/>
      <c r="G143" s="47"/>
      <c r="H143" s="47"/>
      <c r="I143" s="47"/>
      <c r="J143" s="47"/>
      <c r="K143" s="47"/>
      <c r="L143" s="47"/>
      <c r="M143" s="47"/>
      <c r="N143" s="47"/>
      <c r="O143" s="47"/>
      <c r="P143" s="47"/>
      <c r="Q143" s="47"/>
      <c r="R143" s="12"/>
      <c r="S143" s="12"/>
      <c r="T143" s="43"/>
      <c r="U143" s="37"/>
    </row>
    <row r="144" customFormat="false" ht="15" hidden="false" customHeight="true" outlineLevel="0" collapsed="false">
      <c r="A144" s="43"/>
      <c r="B144" s="43"/>
      <c r="C144" s="43"/>
      <c r="D144" s="43"/>
      <c r="E144" s="12"/>
      <c r="F144" s="12"/>
      <c r="G144" s="47"/>
      <c r="H144" s="47"/>
      <c r="I144" s="47"/>
      <c r="J144" s="47"/>
      <c r="K144" s="47"/>
      <c r="L144" s="47"/>
      <c r="M144" s="47"/>
      <c r="N144" s="47"/>
      <c r="O144" s="47"/>
      <c r="P144" s="47"/>
      <c r="Q144" s="47"/>
      <c r="R144" s="12"/>
      <c r="S144" s="12"/>
      <c r="T144" s="43"/>
      <c r="U144" s="37"/>
    </row>
    <row r="145" customFormat="false" ht="15" hidden="false" customHeight="true" outlineLevel="0" collapsed="false">
      <c r="A145" s="43"/>
      <c r="B145" s="43"/>
      <c r="C145" s="43"/>
      <c r="D145" s="43"/>
      <c r="E145" s="12"/>
      <c r="F145" s="12"/>
      <c r="G145" s="47"/>
      <c r="H145" s="47"/>
      <c r="I145" s="47"/>
      <c r="J145" s="47"/>
      <c r="K145" s="47"/>
      <c r="L145" s="47"/>
      <c r="M145" s="47"/>
      <c r="N145" s="47"/>
      <c r="O145" s="47"/>
      <c r="P145" s="47"/>
      <c r="Q145" s="47"/>
      <c r="R145" s="12"/>
      <c r="S145" s="12"/>
      <c r="T145" s="43"/>
      <c r="U145" s="37"/>
    </row>
    <row r="146" customFormat="false" ht="15" hidden="false" customHeight="true" outlineLevel="0" collapsed="false">
      <c r="A146" s="43"/>
      <c r="B146" s="43"/>
      <c r="C146" s="43"/>
      <c r="D146" s="43"/>
      <c r="E146" s="12"/>
      <c r="F146" s="12"/>
      <c r="G146" s="47"/>
      <c r="H146" s="47"/>
      <c r="I146" s="47"/>
      <c r="J146" s="47"/>
      <c r="K146" s="47"/>
      <c r="L146" s="47"/>
      <c r="M146" s="47"/>
      <c r="N146" s="47"/>
      <c r="O146" s="47"/>
      <c r="P146" s="47"/>
      <c r="Q146" s="47"/>
      <c r="R146" s="12"/>
      <c r="S146" s="12"/>
      <c r="T146" s="43"/>
      <c r="U146" s="37"/>
    </row>
    <row r="147" customFormat="false" ht="15" hidden="false" customHeight="true" outlineLevel="0" collapsed="false">
      <c r="A147" s="43"/>
      <c r="B147" s="43"/>
      <c r="C147" s="43"/>
      <c r="D147" s="43"/>
      <c r="E147" s="12"/>
      <c r="F147" s="12"/>
      <c r="G147" s="47"/>
      <c r="H147" s="47"/>
      <c r="I147" s="47"/>
      <c r="J147" s="47"/>
      <c r="K147" s="47"/>
      <c r="L147" s="47"/>
      <c r="M147" s="47"/>
      <c r="N147" s="47"/>
      <c r="O147" s="47"/>
      <c r="P147" s="47"/>
      <c r="Q147" s="47"/>
      <c r="R147" s="12"/>
      <c r="S147" s="12"/>
      <c r="T147" s="43"/>
      <c r="U147" s="37"/>
    </row>
    <row r="148" customFormat="false" ht="15" hidden="false" customHeight="true" outlineLevel="0" collapsed="false">
      <c r="A148" s="43"/>
      <c r="B148" s="43"/>
      <c r="C148" s="43"/>
      <c r="D148" s="43"/>
      <c r="E148" s="12"/>
      <c r="F148" s="12"/>
      <c r="G148" s="47"/>
      <c r="H148" s="47"/>
      <c r="I148" s="47"/>
      <c r="J148" s="47"/>
      <c r="K148" s="47"/>
      <c r="L148" s="47"/>
      <c r="M148" s="47"/>
      <c r="N148" s="47"/>
      <c r="O148" s="47"/>
      <c r="P148" s="47"/>
      <c r="Q148" s="47"/>
      <c r="R148" s="12"/>
      <c r="S148" s="12"/>
      <c r="T148" s="43"/>
      <c r="U148" s="37"/>
    </row>
    <row r="149" customFormat="false" ht="15" hidden="false" customHeight="true" outlineLevel="0" collapsed="false">
      <c r="A149" s="43"/>
      <c r="B149" s="43"/>
      <c r="C149" s="43"/>
      <c r="D149" s="43"/>
      <c r="E149" s="12"/>
      <c r="F149" s="12"/>
      <c r="G149" s="47"/>
      <c r="H149" s="47"/>
      <c r="I149" s="47"/>
      <c r="J149" s="47"/>
      <c r="K149" s="47"/>
      <c r="L149" s="47"/>
      <c r="M149" s="47"/>
      <c r="N149" s="47"/>
      <c r="O149" s="47"/>
      <c r="P149" s="47"/>
      <c r="Q149" s="47"/>
      <c r="R149" s="12"/>
      <c r="S149" s="12"/>
      <c r="T149" s="43"/>
      <c r="U149" s="37"/>
    </row>
    <row r="150" customFormat="false" ht="15" hidden="false" customHeight="true" outlineLevel="0" collapsed="false">
      <c r="A150" s="43"/>
      <c r="B150" s="43"/>
      <c r="C150" s="43"/>
      <c r="D150" s="43"/>
      <c r="E150" s="12"/>
      <c r="F150" s="12"/>
      <c r="G150" s="47"/>
      <c r="H150" s="47"/>
      <c r="I150" s="47"/>
      <c r="J150" s="47"/>
      <c r="K150" s="47"/>
      <c r="L150" s="47"/>
      <c r="M150" s="47"/>
      <c r="N150" s="47"/>
      <c r="O150" s="47"/>
      <c r="P150" s="47"/>
      <c r="Q150" s="47"/>
      <c r="R150" s="12"/>
      <c r="S150" s="12"/>
      <c r="T150" s="43"/>
      <c r="U150" s="37"/>
    </row>
    <row r="151" customFormat="false" ht="15" hidden="false" customHeight="true" outlineLevel="0" collapsed="false">
      <c r="A151" s="43"/>
      <c r="B151" s="43"/>
      <c r="C151" s="43"/>
      <c r="D151" s="43"/>
      <c r="E151" s="12"/>
      <c r="F151" s="12"/>
      <c r="G151" s="47"/>
      <c r="H151" s="47"/>
      <c r="I151" s="47"/>
      <c r="J151" s="47"/>
      <c r="K151" s="47"/>
      <c r="L151" s="47"/>
      <c r="M151" s="47"/>
      <c r="N151" s="47"/>
      <c r="O151" s="47"/>
      <c r="P151" s="47"/>
      <c r="Q151" s="47"/>
      <c r="R151" s="12"/>
      <c r="S151" s="12"/>
      <c r="T151" s="43"/>
      <c r="U151" s="37"/>
    </row>
  </sheetData>
  <autoFilter ref="A1:U151"/>
  <conditionalFormatting sqref="U2:U151">
    <cfRule type="expression" priority="2" aboveAverage="0" equalAverage="0" bottom="0" percent="0" rank="0" text="" dxfId="1">
      <formula>AND(ISNUMBER(U2),U2&lt;TODAY()+90)</formula>
    </cfRule>
  </conditionalFormatting>
  <conditionalFormatting sqref="K2:K151">
    <cfRule type="expression" priority="3" aboveAverage="0" equalAverage="0" bottom="0" percent="0" rank="0" text="" dxfId="9">
      <formula>K2="A"</formula>
    </cfRule>
    <cfRule type="expression" priority="4" aboveAverage="0" equalAverage="0" bottom="0" percent="0" rank="0" text="" dxfId="1">
      <formula>K2="B"</formula>
    </cfRule>
    <cfRule type="expression" priority="5" aboveAverage="0" equalAverage="0" bottom="0" percent="0" rank="0" text="" dxfId="0">
      <formula>OR(K2="C",K2="Reject")</formula>
    </cfRule>
  </conditionalFormatting>
  <dataValidations count="4">
    <dataValidation allowBlank="true" errorStyle="warning" operator="between" showDropDown="false" showErrorMessage="true" showInputMessage="false" sqref="I2:J151" type="list">
      <formula1>Lists!$A$2:$A$6</formula1>
      <formula2>0</formula2>
    </dataValidation>
    <dataValidation allowBlank="true" errorStyle="warning" operator="between" showDropDown="false" showErrorMessage="true" showInputMessage="false" sqref="K2:K151" type="list">
      <formula1>Lists!$B$2:$B$5</formula1>
      <formula2>0</formula2>
    </dataValidation>
    <dataValidation allowBlank="true" errorStyle="warning" operator="between" showDropDown="false" showErrorMessage="true" showInputMessage="false" sqref="L2:O151" type="list">
      <formula1>Lists!$C$2:$C$4</formula1>
      <formula2>0</formula2>
    </dataValidation>
    <dataValidation allowBlank="true" errorStyle="warning" operator="between" showDropDown="false" showErrorMessage="true" showInputMessage="false" sqref="P2:P151"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C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60"/>
  </cols>
  <sheetData>
    <row r="1" customFormat="false" ht="21.75" hidden="false" customHeight="true" outlineLevel="0" collapsed="false">
      <c r="A1" s="20" t="s">
        <v>763</v>
      </c>
      <c r="B1" s="20"/>
      <c r="C1" s="20"/>
    </row>
    <row r="2" customFormat="false" ht="39.75" hidden="false" customHeight="true" outlineLevel="0" collapsed="false">
      <c r="A2" s="17" t="s">
        <v>764</v>
      </c>
      <c r="B2" s="17"/>
      <c r="C2" s="17"/>
    </row>
    <row r="4" customFormat="false" ht="15.75" hidden="false" customHeight="true" outlineLevel="0" collapsed="false">
      <c r="A4" s="4" t="s">
        <v>765</v>
      </c>
      <c r="B4" s="4"/>
      <c r="C4" s="4"/>
    </row>
    <row r="5" customFormat="false" ht="15" hidden="false" customHeight="true" outlineLevel="0" collapsed="false">
      <c r="A5" s="6" t="s">
        <v>766</v>
      </c>
      <c r="B5" s="9" t="n">
        <v>100</v>
      </c>
      <c r="C5" s="8" t="s">
        <v>767</v>
      </c>
    </row>
    <row r="6" customFormat="false" ht="15" hidden="false" customHeight="true" outlineLevel="0" collapsed="false">
      <c r="A6" s="6" t="s">
        <v>768</v>
      </c>
      <c r="B6" s="9" t="n">
        <v>2</v>
      </c>
      <c r="C6" s="8" t="s">
        <v>769</v>
      </c>
    </row>
    <row r="7" customFormat="false" ht="15" hidden="false" customHeight="true" outlineLevel="0" collapsed="false">
      <c r="A7" s="6" t="s">
        <v>770</v>
      </c>
      <c r="B7" s="9" t="n">
        <v>6</v>
      </c>
      <c r="C7" s="8" t="s">
        <v>771</v>
      </c>
    </row>
    <row r="8" customFormat="false" ht="15" hidden="false" customHeight="true" outlineLevel="0" collapsed="false">
      <c r="A8" s="6" t="s">
        <v>772</v>
      </c>
      <c r="B8" s="9" t="n">
        <v>8</v>
      </c>
      <c r="C8" s="8" t="s">
        <v>773</v>
      </c>
    </row>
    <row r="9" customFormat="false" ht="15" hidden="false" customHeight="true" outlineLevel="0" collapsed="false">
      <c r="A9" s="6" t="s">
        <v>774</v>
      </c>
      <c r="B9" s="44" t="n">
        <f aca="false">ROUNDUP($B$5/$B$7,0)+1</f>
        <v>18</v>
      </c>
      <c r="C9" s="8" t="s">
        <v>775</v>
      </c>
    </row>
    <row r="10" customFormat="false" ht="15" hidden="false" customHeight="true" outlineLevel="0" collapsed="false">
      <c r="A10" s="6" t="s">
        <v>776</v>
      </c>
      <c r="B10" s="44" t="n">
        <f aca="false">B9*$B$6</f>
        <v>36</v>
      </c>
      <c r="C10" s="8"/>
    </row>
    <row r="11" customFormat="false" ht="15" hidden="false" customHeight="true" outlineLevel="0" collapsed="false">
      <c r="A11" s="6" t="s">
        <v>777</v>
      </c>
      <c r="B11" s="44" t="n">
        <f aca="false">($B$6-1)*$B$8+$B$7</f>
        <v>14</v>
      </c>
      <c r="C11" s="8" t="s">
        <v>778</v>
      </c>
    </row>
    <row r="12" customFormat="false" ht="15" hidden="false" customHeight="true" outlineLevel="0" collapsed="false">
      <c r="A12" s="6" t="s">
        <v>779</v>
      </c>
      <c r="B12" s="44" t="n">
        <f aca="false">ROUNDDOWN(B10*0.3,0)</f>
        <v>10</v>
      </c>
      <c r="C12" s="8" t="s">
        <v>780</v>
      </c>
    </row>
    <row r="13" customFormat="false" ht="15" hidden="false" customHeight="true" outlineLevel="0" collapsed="false">
      <c r="A13" s="6" t="s">
        <v>781</v>
      </c>
      <c r="B13" s="44" t="n">
        <f aca="false">ROUNDDOWN(B10*'Start Here'!$B$9,0)</f>
        <v>3</v>
      </c>
      <c r="C13" s="8" t="s">
        <v>782</v>
      </c>
    </row>
    <row r="14" customFormat="false" ht="15" hidden="false" customHeight="true" outlineLevel="0" collapsed="false">
      <c r="A14" s="6" t="s">
        <v>783</v>
      </c>
      <c r="B14" s="44" t="n">
        <f aca="false">ROUNDUP(B9/3,0)</f>
        <v>6</v>
      </c>
      <c r="C14" s="8" t="s">
        <v>784</v>
      </c>
    </row>
    <row r="16" customFormat="false" ht="15.75" hidden="false" customHeight="true" outlineLevel="0" collapsed="false">
      <c r="A16" s="4" t="s">
        <v>785</v>
      </c>
      <c r="B16" s="4"/>
      <c r="C16" s="4"/>
    </row>
    <row r="17" customFormat="false" ht="18" hidden="false" customHeight="true" outlineLevel="0" collapsed="false">
      <c r="A17" s="5" t="s">
        <v>786</v>
      </c>
      <c r="B17" s="5" t="s">
        <v>787</v>
      </c>
      <c r="C17" s="5" t="s">
        <v>788</v>
      </c>
    </row>
    <row r="18" customFormat="false" ht="30" hidden="false" customHeight="true" outlineLevel="0" collapsed="false">
      <c r="A18" s="39" t="s">
        <v>789</v>
      </c>
      <c r="B18" s="12" t="s">
        <v>790</v>
      </c>
      <c r="C18" s="12" t="s">
        <v>791</v>
      </c>
    </row>
    <row r="19" customFormat="false" ht="30" hidden="false" customHeight="true" outlineLevel="0" collapsed="false">
      <c r="A19" s="39" t="s">
        <v>792</v>
      </c>
      <c r="B19" s="12" t="s">
        <v>793</v>
      </c>
      <c r="C19" s="12" t="s">
        <v>794</v>
      </c>
    </row>
    <row r="20" customFormat="false" ht="27.75" hidden="false" customHeight="true" outlineLevel="0" collapsed="false">
      <c r="A20" s="39" t="s">
        <v>795</v>
      </c>
      <c r="B20" s="12" t="s">
        <v>796</v>
      </c>
      <c r="C20" s="12" t="s">
        <v>797</v>
      </c>
    </row>
    <row r="21" customFormat="false" ht="30" hidden="false" customHeight="true" outlineLevel="0" collapsed="false">
      <c r="A21" s="39" t="s">
        <v>798</v>
      </c>
      <c r="B21" s="12" t="s">
        <v>799</v>
      </c>
      <c r="C21" s="12" t="s">
        <v>800</v>
      </c>
    </row>
    <row r="22" customFormat="false" ht="39.75" hidden="false" customHeight="true" outlineLevel="0" collapsed="false">
      <c r="A22" s="39" t="s">
        <v>801</v>
      </c>
      <c r="B22" s="12" t="s">
        <v>802</v>
      </c>
      <c r="C22" s="12" t="s">
        <v>803</v>
      </c>
    </row>
    <row r="23" customFormat="false" ht="25.5" hidden="false" customHeight="true" outlineLevel="0" collapsed="false">
      <c r="A23" s="39" t="s">
        <v>804</v>
      </c>
      <c r="B23" s="12" t="s">
        <v>805</v>
      </c>
      <c r="C23" s="12" t="s">
        <v>806</v>
      </c>
    </row>
    <row r="24" customFormat="false" ht="33.75" hidden="false" customHeight="true" outlineLevel="0" collapsed="false">
      <c r="A24" s="39" t="s">
        <v>807</v>
      </c>
      <c r="B24" s="12" t="s">
        <v>808</v>
      </c>
      <c r="C24" s="12" t="s">
        <v>809</v>
      </c>
    </row>
    <row r="25" customFormat="false" ht="25.5" hidden="false" customHeight="true" outlineLevel="0" collapsed="false">
      <c r="A25" s="39" t="s">
        <v>810</v>
      </c>
      <c r="B25" s="12" t="s">
        <v>811</v>
      </c>
      <c r="C25" s="12" t="s">
        <v>812</v>
      </c>
    </row>
    <row r="26" customFormat="false" ht="24" hidden="false" customHeight="true" outlineLevel="0" collapsed="false">
      <c r="A26" s="39" t="s">
        <v>813</v>
      </c>
      <c r="B26" s="12" t="s">
        <v>814</v>
      </c>
      <c r="C26" s="12" t="s">
        <v>815</v>
      </c>
    </row>
    <row r="27" customFormat="false" ht="33.75" hidden="false" customHeight="true" outlineLevel="0" collapsed="false">
      <c r="A27" s="39" t="s">
        <v>816</v>
      </c>
      <c r="B27" s="12" t="s">
        <v>817</v>
      </c>
      <c r="C27" s="12" t="s">
        <v>818</v>
      </c>
    </row>
    <row r="28" customFormat="false" ht="33.75" hidden="false" customHeight="true" outlineLevel="0" collapsed="false">
      <c r="A28" s="39" t="s">
        <v>819</v>
      </c>
      <c r="B28" s="12" t="s">
        <v>820</v>
      </c>
      <c r="C28" s="12" t="s">
        <v>821</v>
      </c>
    </row>
    <row r="29" customFormat="false" ht="25.5" hidden="false" customHeight="true" outlineLevel="0" collapsed="false">
      <c r="A29" s="39" t="s">
        <v>822</v>
      </c>
      <c r="B29" s="12" t="s">
        <v>823</v>
      </c>
      <c r="C29" s="12" t="s">
        <v>824</v>
      </c>
    </row>
    <row r="31" customFormat="false" ht="15.75" hidden="false" customHeight="true" outlineLevel="0" collapsed="false">
      <c r="A31" s="4" t="s">
        <v>825</v>
      </c>
      <c r="B31" s="4"/>
      <c r="C31" s="4"/>
    </row>
    <row r="32" customFormat="false" ht="18" hidden="false" customHeight="true" outlineLevel="0" collapsed="false">
      <c r="A32" s="5" t="s">
        <v>826</v>
      </c>
      <c r="B32" s="5" t="s">
        <v>827</v>
      </c>
      <c r="C32" s="5" t="s">
        <v>173</v>
      </c>
    </row>
    <row r="33" customFormat="false" ht="36" hidden="false" customHeight="true" outlineLevel="0" collapsed="false">
      <c r="A33" s="39" t="s">
        <v>828</v>
      </c>
      <c r="B33" s="12" t="s">
        <v>829</v>
      </c>
      <c r="C33" s="12" t="s">
        <v>830</v>
      </c>
    </row>
    <row r="34" customFormat="false" ht="36" hidden="false" customHeight="true" outlineLevel="0" collapsed="false">
      <c r="A34" s="39" t="s">
        <v>831</v>
      </c>
      <c r="B34" s="12" t="s">
        <v>832</v>
      </c>
      <c r="C34" s="12" t="s">
        <v>833</v>
      </c>
    </row>
    <row r="35" customFormat="false" ht="27.75" hidden="false" customHeight="true" outlineLevel="0" collapsed="false">
      <c r="A35" s="39" t="s">
        <v>834</v>
      </c>
      <c r="B35" s="12" t="s">
        <v>835</v>
      </c>
      <c r="C35" s="12" t="s">
        <v>836</v>
      </c>
    </row>
    <row r="36" customFormat="false" ht="39.75" hidden="false" customHeight="true" outlineLevel="0" collapsed="false">
      <c r="A36" s="51" t="s">
        <v>837</v>
      </c>
      <c r="B36" s="51"/>
      <c r="C36" s="51"/>
    </row>
    <row r="38" customFormat="false" ht="15.75" hidden="false" customHeight="true" outlineLevel="0" collapsed="false">
      <c r="A38" s="4" t="s">
        <v>838</v>
      </c>
      <c r="B38" s="4"/>
      <c r="C38" s="4"/>
    </row>
    <row r="39" customFormat="false" ht="18" hidden="false" customHeight="true" outlineLevel="0" collapsed="false">
      <c r="A39" s="5" t="s">
        <v>826</v>
      </c>
      <c r="B39" s="5" t="s">
        <v>839</v>
      </c>
      <c r="C39" s="5" t="s">
        <v>173</v>
      </c>
    </row>
    <row r="40" customFormat="false" ht="36" hidden="false" customHeight="true" outlineLevel="0" collapsed="false">
      <c r="A40" s="39" t="s">
        <v>840</v>
      </c>
      <c r="B40" s="12" t="s">
        <v>841</v>
      </c>
      <c r="C40" s="12" t="s">
        <v>842</v>
      </c>
    </row>
    <row r="41" customFormat="false" ht="30" hidden="false" customHeight="true" outlineLevel="0" collapsed="false">
      <c r="A41" s="39" t="s">
        <v>843</v>
      </c>
      <c r="B41" s="12" t="s">
        <v>844</v>
      </c>
      <c r="C41" s="12" t="s">
        <v>845</v>
      </c>
    </row>
    <row r="43" customFormat="false" ht="15.75" hidden="false" customHeight="true" outlineLevel="0" collapsed="false">
      <c r="A43" s="4" t="s">
        <v>846</v>
      </c>
      <c r="B43" s="4"/>
      <c r="C43" s="4"/>
    </row>
    <row r="44" customFormat="false" ht="25.5" hidden="false" customHeight="true" outlineLevel="0" collapsed="false">
      <c r="A44" s="19" t="s">
        <v>106</v>
      </c>
      <c r="B44" s="17" t="s">
        <v>847</v>
      </c>
      <c r="C44" s="17"/>
    </row>
    <row r="45" customFormat="false" ht="25.5" hidden="false" customHeight="true" outlineLevel="0" collapsed="false">
      <c r="A45" s="19" t="s">
        <v>108</v>
      </c>
      <c r="B45" s="17" t="s">
        <v>848</v>
      </c>
      <c r="C45" s="17"/>
    </row>
    <row r="46" customFormat="false" ht="15" hidden="false" customHeight="true" outlineLevel="0" collapsed="false">
      <c r="A46" s="19" t="s">
        <v>110</v>
      </c>
      <c r="B46" s="17" t="s">
        <v>849</v>
      </c>
      <c r="C46" s="17"/>
    </row>
    <row r="47" customFormat="false" ht="15" hidden="false" customHeight="true" outlineLevel="0" collapsed="false">
      <c r="A47" s="19" t="s">
        <v>112</v>
      </c>
      <c r="B47" s="17" t="s">
        <v>850</v>
      </c>
      <c r="C47" s="17"/>
    </row>
    <row r="48" customFormat="false" ht="25.5" hidden="false" customHeight="true" outlineLevel="0" collapsed="false">
      <c r="A48" s="19" t="s">
        <v>114</v>
      </c>
      <c r="B48" s="17" t="s">
        <v>851</v>
      </c>
      <c r="C48" s="17"/>
    </row>
    <row r="50" customFormat="false" ht="15.75" hidden="false" customHeight="true" outlineLevel="0" collapsed="false">
      <c r="A50" s="4" t="s">
        <v>852</v>
      </c>
      <c r="B50" s="4"/>
      <c r="C50" s="4"/>
    </row>
    <row r="51" customFormat="false" ht="51.75" hidden="false" customHeight="true" outlineLevel="0" collapsed="false">
      <c r="A51" s="46" t="s">
        <v>853</v>
      </c>
      <c r="B51" s="46"/>
      <c r="C51" s="46"/>
    </row>
  </sheetData>
  <mergeCells count="15">
    <mergeCell ref="A1:C1"/>
    <mergeCell ref="A2:C2"/>
    <mergeCell ref="A4:C4"/>
    <mergeCell ref="A16:C16"/>
    <mergeCell ref="A31:C31"/>
    <mergeCell ref="A36:C36"/>
    <mergeCell ref="A38:C38"/>
    <mergeCell ref="A43:C43"/>
    <mergeCell ref="B44:C44"/>
    <mergeCell ref="B45:C45"/>
    <mergeCell ref="B46:C46"/>
    <mergeCell ref="B47:C47"/>
    <mergeCell ref="B48:C48"/>
    <mergeCell ref="A50:C50"/>
    <mergeCell ref="A51:C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5"/>
    <col collapsed="false" customWidth="true" hidden="false" outlineLevel="0" max="4" min="3" style="1" width="11"/>
    <col collapsed="false" customWidth="true" hidden="false" outlineLevel="0" max="5" min="5" style="1" width="9"/>
    <col collapsed="false" customWidth="true" hidden="false" outlineLevel="0" max="6" min="6" style="1" width="12"/>
    <col collapsed="false" customWidth="true" hidden="false" outlineLevel="0" max="9" min="7" style="1" width="10"/>
    <col collapsed="false" customWidth="true" hidden="false" outlineLevel="0" max="10" min="10" style="1" width="13"/>
  </cols>
  <sheetData>
    <row r="1" customFormat="false" ht="21.75" hidden="false" customHeight="true" outlineLevel="0" collapsed="false">
      <c r="A1" s="20" t="s">
        <v>854</v>
      </c>
      <c r="B1" s="20"/>
      <c r="C1" s="20"/>
      <c r="D1" s="20"/>
      <c r="E1" s="20"/>
      <c r="F1" s="20"/>
      <c r="G1" s="20"/>
      <c r="H1" s="20"/>
      <c r="I1" s="20"/>
      <c r="J1" s="20"/>
    </row>
    <row r="2" customFormat="false" ht="39.75" hidden="false" customHeight="true" outlineLevel="0" collapsed="false">
      <c r="A2" s="17" t="s">
        <v>855</v>
      </c>
      <c r="B2" s="17"/>
      <c r="C2" s="17"/>
      <c r="D2" s="17"/>
      <c r="E2" s="17"/>
      <c r="F2" s="17"/>
      <c r="G2" s="17"/>
      <c r="H2" s="17"/>
      <c r="I2" s="17"/>
      <c r="J2" s="17"/>
    </row>
    <row r="4" customFormat="false" ht="15.75" hidden="false" customHeight="true" outlineLevel="0" collapsed="false">
      <c r="A4" s="4" t="s">
        <v>856</v>
      </c>
      <c r="B4" s="4"/>
      <c r="C4" s="4"/>
      <c r="D4" s="4"/>
      <c r="E4" s="4"/>
      <c r="F4" s="4"/>
      <c r="G4" s="4"/>
      <c r="H4" s="4"/>
      <c r="I4" s="4"/>
      <c r="J4" s="4"/>
    </row>
    <row r="5" customFormat="false" ht="27.75" hidden="false" customHeight="true" outlineLevel="0" collapsed="false">
      <c r="A5" s="17" t="s">
        <v>857</v>
      </c>
      <c r="B5" s="17"/>
      <c r="C5" s="17"/>
      <c r="D5" s="17"/>
      <c r="E5" s="17"/>
      <c r="F5" s="17"/>
      <c r="G5" s="17"/>
      <c r="H5" s="17"/>
      <c r="I5" s="17"/>
      <c r="J5" s="17"/>
    </row>
    <row r="7" customFormat="false" ht="15.75" hidden="false" customHeight="true" outlineLevel="0" collapsed="false">
      <c r="A7" s="4" t="s">
        <v>858</v>
      </c>
      <c r="B7" s="4"/>
      <c r="C7" s="4"/>
      <c r="D7" s="4"/>
      <c r="E7" s="4"/>
      <c r="F7" s="4"/>
      <c r="G7" s="4"/>
      <c r="H7" s="4"/>
      <c r="I7" s="4"/>
      <c r="J7" s="4"/>
    </row>
    <row r="8" customFormat="false" ht="27.75" hidden="false" customHeight="true" outlineLevel="0" collapsed="false">
      <c r="A8" s="52"/>
      <c r="B8" s="52" t="s">
        <v>859</v>
      </c>
      <c r="C8" s="52" t="s">
        <v>860</v>
      </c>
      <c r="D8" s="52" t="s">
        <v>861</v>
      </c>
    </row>
    <row r="9" customFormat="false" ht="15" hidden="false" customHeight="true" outlineLevel="0" collapsed="false">
      <c r="A9" s="6" t="s">
        <v>862</v>
      </c>
      <c r="B9" s="9" t="n">
        <v>10</v>
      </c>
      <c r="C9" s="9" t="n">
        <v>7</v>
      </c>
      <c r="D9" s="9" t="n">
        <v>5</v>
      </c>
    </row>
    <row r="10" customFormat="false" ht="15" hidden="false" customHeight="true" outlineLevel="0" collapsed="false">
      <c r="A10" s="6" t="s">
        <v>863</v>
      </c>
      <c r="B10" s="9" t="n">
        <v>21</v>
      </c>
      <c r="C10" s="9" t="n">
        <v>14</v>
      </c>
      <c r="D10" s="9" t="n">
        <v>10</v>
      </c>
    </row>
    <row r="11" customFormat="false" ht="15" hidden="false" customHeight="true" outlineLevel="0" collapsed="false">
      <c r="A11" s="6" t="s">
        <v>864</v>
      </c>
      <c r="B11" s="9" t="n">
        <v>30</v>
      </c>
      <c r="C11" s="9" t="n">
        <v>28</v>
      </c>
      <c r="D11" s="9" t="n">
        <v>21</v>
      </c>
    </row>
    <row r="12" customFormat="false" ht="27.75" hidden="false" customHeight="true" outlineLevel="0" collapsed="false">
      <c r="A12" s="17" t="s">
        <v>865</v>
      </c>
      <c r="B12" s="17"/>
      <c r="C12" s="17"/>
      <c r="D12" s="17"/>
      <c r="E12" s="17"/>
      <c r="F12" s="17"/>
      <c r="G12" s="17"/>
      <c r="H12" s="17"/>
      <c r="I12" s="17"/>
      <c r="J12" s="17"/>
    </row>
    <row r="14" customFormat="false" ht="15.75" hidden="false" customHeight="true" outlineLevel="0" collapsed="false">
      <c r="A14" s="4" t="s">
        <v>866</v>
      </c>
      <c r="B14" s="4"/>
      <c r="C14" s="4"/>
      <c r="D14" s="4"/>
      <c r="E14" s="4"/>
      <c r="F14" s="4"/>
      <c r="G14" s="4"/>
      <c r="H14" s="4"/>
      <c r="I14" s="4"/>
      <c r="J14" s="4"/>
    </row>
    <row r="15" customFormat="false" ht="15.75" hidden="false" customHeight="true" outlineLevel="0" collapsed="false">
      <c r="A15" s="19" t="s">
        <v>867</v>
      </c>
      <c r="B15" s="17" t="s">
        <v>868</v>
      </c>
      <c r="C15" s="17"/>
      <c r="D15" s="17"/>
      <c r="E15" s="17"/>
      <c r="F15" s="17"/>
      <c r="G15" s="17"/>
      <c r="H15" s="17"/>
      <c r="I15" s="17"/>
      <c r="J15" s="17"/>
    </row>
    <row r="16" customFormat="false" ht="15.75" hidden="false" customHeight="true" outlineLevel="0" collapsed="false">
      <c r="A16" s="19" t="s">
        <v>869</v>
      </c>
      <c r="B16" s="17" t="s">
        <v>870</v>
      </c>
      <c r="C16" s="17"/>
      <c r="D16" s="17"/>
      <c r="E16" s="17"/>
      <c r="F16" s="17"/>
      <c r="G16" s="17"/>
      <c r="H16" s="17"/>
      <c r="I16" s="17"/>
      <c r="J16" s="17"/>
    </row>
    <row r="17" customFormat="false" ht="27.75" hidden="false" customHeight="true" outlineLevel="0" collapsed="false">
      <c r="A17" s="19" t="s">
        <v>871</v>
      </c>
      <c r="B17" s="17" t="s">
        <v>872</v>
      </c>
      <c r="C17" s="17"/>
      <c r="D17" s="17"/>
      <c r="E17" s="17"/>
      <c r="F17" s="17"/>
      <c r="G17" s="17"/>
      <c r="H17" s="17"/>
      <c r="I17" s="17"/>
      <c r="J17" s="17"/>
    </row>
    <row r="18" customFormat="false" ht="27.75" hidden="false" customHeight="true" outlineLevel="0" collapsed="false">
      <c r="A18" s="19" t="s">
        <v>873</v>
      </c>
      <c r="B18" s="17" t="s">
        <v>874</v>
      </c>
      <c r="C18" s="17"/>
      <c r="D18" s="17"/>
      <c r="E18" s="17"/>
      <c r="F18" s="17"/>
      <c r="G18" s="17"/>
      <c r="H18" s="17"/>
      <c r="I18" s="17"/>
      <c r="J18" s="17"/>
    </row>
    <row r="20" customFormat="false" ht="15.75" hidden="false" customHeight="true" outlineLevel="0" collapsed="false">
      <c r="A20" s="4" t="s">
        <v>875</v>
      </c>
      <c r="B20" s="4"/>
      <c r="C20" s="4"/>
      <c r="D20" s="4"/>
      <c r="E20" s="4"/>
      <c r="F20" s="4"/>
      <c r="G20" s="4"/>
      <c r="H20" s="4"/>
      <c r="I20" s="4"/>
      <c r="J20" s="4"/>
    </row>
    <row r="21" customFormat="false" ht="57.75" hidden="false" customHeight="true" outlineLevel="0" collapsed="false">
      <c r="A21" s="51" t="s">
        <v>876</v>
      </c>
      <c r="B21" s="51"/>
      <c r="C21" s="51"/>
      <c r="D21" s="51"/>
      <c r="E21" s="51"/>
      <c r="F21" s="51"/>
      <c r="G21" s="51"/>
      <c r="H21" s="51"/>
      <c r="I21" s="51"/>
      <c r="J21" s="51"/>
    </row>
    <row r="23" customFormat="false" ht="15.75" hidden="false" customHeight="true" outlineLevel="0" collapsed="false">
      <c r="A23" s="4" t="s">
        <v>877</v>
      </c>
      <c r="B23" s="4"/>
      <c r="C23" s="4"/>
      <c r="D23" s="4"/>
      <c r="E23" s="4"/>
      <c r="F23" s="4"/>
      <c r="G23" s="4"/>
      <c r="H23" s="4"/>
      <c r="I23" s="4"/>
      <c r="J23" s="4"/>
    </row>
    <row r="24" customFormat="false" ht="33.75" hidden="false" customHeight="true" outlineLevel="0" collapsed="false">
      <c r="A24" s="17" t="s">
        <v>878</v>
      </c>
      <c r="B24" s="17"/>
      <c r="C24" s="17"/>
      <c r="D24" s="17"/>
      <c r="E24" s="17"/>
      <c r="F24" s="17"/>
      <c r="G24" s="17"/>
      <c r="H24" s="17"/>
      <c r="I24" s="17"/>
      <c r="J24" s="17"/>
    </row>
    <row r="26" customFormat="false" ht="15.75" hidden="false" customHeight="true" outlineLevel="0" collapsed="false">
      <c r="A26" s="4" t="s">
        <v>879</v>
      </c>
      <c r="B26" s="4"/>
      <c r="C26" s="4"/>
      <c r="D26" s="4"/>
      <c r="E26" s="4"/>
      <c r="F26" s="4"/>
      <c r="G26" s="4"/>
      <c r="H26" s="4"/>
      <c r="I26" s="4"/>
      <c r="J26" s="4"/>
    </row>
    <row r="27" customFormat="false" ht="30" hidden="false" customHeight="true" outlineLevel="0" collapsed="false">
      <c r="A27" s="3" t="s">
        <v>880</v>
      </c>
      <c r="B27" s="3"/>
      <c r="C27" s="3"/>
      <c r="D27" s="3"/>
      <c r="E27" s="3"/>
      <c r="F27" s="3"/>
      <c r="G27" s="3"/>
      <c r="H27" s="3"/>
      <c r="I27" s="3"/>
      <c r="J27" s="3"/>
    </row>
    <row r="28" customFormat="false" ht="15" hidden="false" customHeight="true" outlineLevel="0" collapsed="false">
      <c r="A28" s="6" t="s">
        <v>881</v>
      </c>
      <c r="B28" s="9" t="n">
        <v>2</v>
      </c>
      <c r="C28" s="53" t="s">
        <v>882</v>
      </c>
      <c r="D28" s="53"/>
      <c r="E28" s="53"/>
      <c r="F28" s="53"/>
      <c r="G28" s="53"/>
      <c r="H28" s="53"/>
      <c r="I28" s="53"/>
      <c r="J28" s="53"/>
    </row>
    <row r="29" customFormat="false" ht="15" hidden="false" customHeight="true" outlineLevel="0" collapsed="false">
      <c r="A29" s="6" t="s">
        <v>883</v>
      </c>
      <c r="B29" s="40" t="n">
        <v>1.5</v>
      </c>
      <c r="C29" s="53" t="s">
        <v>884</v>
      </c>
      <c r="D29" s="53"/>
      <c r="E29" s="53"/>
      <c r="F29" s="53"/>
      <c r="G29" s="53"/>
      <c r="H29" s="53"/>
      <c r="I29" s="53"/>
      <c r="J29" s="53"/>
    </row>
    <row r="30" customFormat="false" ht="15" hidden="false" customHeight="true" outlineLevel="0" collapsed="false">
      <c r="A30" s="6" t="s">
        <v>10</v>
      </c>
      <c r="B30" s="42" t="n">
        <f aca="false">'Start Here'!$B$8</f>
        <v>122</v>
      </c>
      <c r="C30" s="53" t="s">
        <v>885</v>
      </c>
      <c r="D30" s="53"/>
      <c r="E30" s="53"/>
      <c r="F30" s="53"/>
      <c r="G30" s="53"/>
      <c r="H30" s="53"/>
      <c r="I30" s="53"/>
      <c r="J30" s="53"/>
    </row>
    <row r="31" customFormat="false" ht="15" hidden="false" customHeight="true" outlineLevel="0" collapsed="false">
      <c r="A31" s="6" t="s">
        <v>6</v>
      </c>
      <c r="B31" s="54" t="n">
        <f aca="false">'Start Here'!$B$6</f>
        <v>150</v>
      </c>
      <c r="C31" s="53" t="s">
        <v>885</v>
      </c>
      <c r="D31" s="53"/>
      <c r="E31" s="53"/>
      <c r="F31" s="53"/>
      <c r="G31" s="53"/>
      <c r="H31" s="53"/>
      <c r="I31" s="53"/>
      <c r="J31" s="53"/>
    </row>
    <row r="33" customFormat="false" ht="39.75" hidden="false" customHeight="true" outlineLevel="0" collapsed="false">
      <c r="A33" s="5" t="s">
        <v>886</v>
      </c>
      <c r="B33" s="5" t="s">
        <v>887</v>
      </c>
      <c r="C33" s="5" t="s">
        <v>888</v>
      </c>
      <c r="D33" s="5" t="s">
        <v>889</v>
      </c>
      <c r="E33" s="5" t="s">
        <v>890</v>
      </c>
      <c r="F33" s="5" t="s">
        <v>891</v>
      </c>
      <c r="G33" s="5" t="s">
        <v>892</v>
      </c>
      <c r="H33" s="5" t="s">
        <v>893</v>
      </c>
      <c r="I33" s="5" t="s">
        <v>894</v>
      </c>
      <c r="J33" s="5" t="s">
        <v>895</v>
      </c>
    </row>
    <row r="34" customFormat="false" ht="15" hidden="false" customHeight="true" outlineLevel="0" collapsed="false">
      <c r="A34" s="55" t="s">
        <v>584</v>
      </c>
      <c r="B34" s="47" t="str">
        <f aca="false">IF($A34="","",IFERROR(INDEX(Palette!$P$2:$P$151,MATCH($A34,Palette!$A$2:$A$151,0)),"Standard"))</f>
        <v>Standard</v>
      </c>
      <c r="C34" s="40" t="n">
        <v>0</v>
      </c>
      <c r="D34" s="9" t="n">
        <v>5</v>
      </c>
      <c r="E34" s="9" t="n">
        <v>25</v>
      </c>
      <c r="F34" s="42" t="n">
        <f aca="false">IF(N($E34)=0,0,IF(N($C34)&gt;0,$C34*10,N($D34)))</f>
        <v>5</v>
      </c>
      <c r="G34" s="42" t="n">
        <f aca="false">IF(N($E34)=0,0,ROUNDUP($B$30/IF($B34="Drought-adapted",ROUND(INDEX($B$9:$D$11,1,$B$28)*1.5,0),INDEX($B$9:$D$11,1,$B$28)),0))</f>
        <v>18</v>
      </c>
      <c r="H34" s="42" t="n">
        <f aca="false">IF(N($E34)=0,0,ROUNDUP($B$30/IF($B34="Drought-adapted",ROUND(INDEX($B$9:$D$11,2,$B$28)*1.5,0),INDEX($B$9:$D$11,2,$B$28)),0))</f>
        <v>9</v>
      </c>
      <c r="I34" s="42" t="n">
        <f aca="false">IF(OR(N($E34)=0,$B34="Drought-adapted"),0,ROUNDUP($B$30/INDEX($B$9:$D$11,3,$B$28),0))</f>
        <v>5</v>
      </c>
      <c r="J34" s="56" t="n">
        <f aca="false">F34*N(E34)*(G34+H34+I34)</f>
        <v>4000</v>
      </c>
    </row>
    <row r="35" customFormat="false" ht="15" hidden="false" customHeight="true" outlineLevel="0" collapsed="false">
      <c r="A35" s="55"/>
      <c r="B35" s="47" t="str">
        <f aca="false">IF($A35="","",IFERROR(INDEX(Palette!$P$2:$P$151,MATCH($A35,Palette!$A$2:$A$151,0)),"Standard"))</f>
        <v/>
      </c>
      <c r="C35" s="40"/>
      <c r="D35" s="9"/>
      <c r="E35" s="9"/>
      <c r="F35" s="42" t="n">
        <f aca="false">IF(N($E35)=0,0,IF(N($C35)&gt;0,$C35*10,N($D35)))</f>
        <v>0</v>
      </c>
      <c r="G35" s="42" t="n">
        <f aca="false">IF(N($E35)=0,0,ROUNDUP($B$30/IF($B35="Drought-adapted",ROUND(INDEX($B$9:$D$11,1,$B$28)*1.5,0),INDEX($B$9:$D$11,1,$B$28)),0))</f>
        <v>0</v>
      </c>
      <c r="H35" s="42" t="n">
        <f aca="false">IF(N($E35)=0,0,ROUNDUP($B$30/IF($B35="Drought-adapted",ROUND(INDEX($B$9:$D$11,2,$B$28)*1.5,0),INDEX($B$9:$D$11,2,$B$28)),0))</f>
        <v>0</v>
      </c>
      <c r="I35" s="42" t="n">
        <f aca="false">IF(OR(N($E35)=0,$B35="Drought-adapted"),0,ROUNDUP($B$30/INDEX($B$9:$D$11,3,$B$28),0))</f>
        <v>0</v>
      </c>
      <c r="J35" s="56" t="n">
        <f aca="false">F35*N(E35)*(G35+H35+I35)</f>
        <v>0</v>
      </c>
    </row>
    <row r="36" customFormat="false" ht="15" hidden="false" customHeight="true" outlineLevel="0" collapsed="false">
      <c r="A36" s="55"/>
      <c r="B36" s="47" t="str">
        <f aca="false">IF($A36="","",IFERROR(INDEX(Palette!$P$2:$P$151,MATCH($A36,Palette!$A$2:$A$151,0)),"Standard"))</f>
        <v/>
      </c>
      <c r="C36" s="40"/>
      <c r="D36" s="9"/>
      <c r="E36" s="9"/>
      <c r="F36" s="42" t="n">
        <f aca="false">IF(N($E36)=0,0,IF(N($C36)&gt;0,$C36*10,N($D36)))</f>
        <v>0</v>
      </c>
      <c r="G36" s="42" t="n">
        <f aca="false">IF(N($E36)=0,0,ROUNDUP($B$30/IF($B36="Drought-adapted",ROUND(INDEX($B$9:$D$11,1,$B$28)*1.5,0),INDEX($B$9:$D$11,1,$B$28)),0))</f>
        <v>0</v>
      </c>
      <c r="H36" s="42" t="n">
        <f aca="false">IF(N($E36)=0,0,ROUNDUP($B$30/IF($B36="Drought-adapted",ROUND(INDEX($B$9:$D$11,2,$B$28)*1.5,0),INDEX($B$9:$D$11,2,$B$28)),0))</f>
        <v>0</v>
      </c>
      <c r="I36" s="42" t="n">
        <f aca="false">IF(OR(N($E36)=0,$B36="Drought-adapted"),0,ROUNDUP($B$30/INDEX($B$9:$D$11,3,$B$28),0))</f>
        <v>0</v>
      </c>
      <c r="J36" s="56" t="n">
        <f aca="false">F36*N(E36)*(G36+H36+I36)</f>
        <v>0</v>
      </c>
    </row>
    <row r="37" customFormat="false" ht="15" hidden="false" customHeight="true" outlineLevel="0" collapsed="false">
      <c r="A37" s="55"/>
      <c r="B37" s="47" t="str">
        <f aca="false">IF($A37="","",IFERROR(INDEX(Palette!$P$2:$P$151,MATCH($A37,Palette!$A$2:$A$151,0)),"Standard"))</f>
        <v/>
      </c>
      <c r="C37" s="40"/>
      <c r="D37" s="9"/>
      <c r="E37" s="9"/>
      <c r="F37" s="42" t="n">
        <f aca="false">IF(N($E37)=0,0,IF(N($C37)&gt;0,$C37*10,N($D37)))</f>
        <v>0</v>
      </c>
      <c r="G37" s="42" t="n">
        <f aca="false">IF(N($E37)=0,0,ROUNDUP($B$30/IF($B37="Drought-adapted",ROUND(INDEX($B$9:$D$11,1,$B$28)*1.5,0),INDEX($B$9:$D$11,1,$B$28)),0))</f>
        <v>0</v>
      </c>
      <c r="H37" s="42" t="n">
        <f aca="false">IF(N($E37)=0,0,ROUNDUP($B$30/IF($B37="Drought-adapted",ROUND(INDEX($B$9:$D$11,2,$B$28)*1.5,0),INDEX($B$9:$D$11,2,$B$28)),0))</f>
        <v>0</v>
      </c>
      <c r="I37" s="42" t="n">
        <f aca="false">IF(OR(N($E37)=0,$B37="Drought-adapted"),0,ROUNDUP($B$30/INDEX($B$9:$D$11,3,$B$28),0))</f>
        <v>0</v>
      </c>
      <c r="J37" s="56" t="n">
        <f aca="false">F37*N(E37)*(G37+H37+I37)</f>
        <v>0</v>
      </c>
    </row>
    <row r="38" customFormat="false" ht="15" hidden="false" customHeight="true" outlineLevel="0" collapsed="false">
      <c r="A38" s="55"/>
      <c r="B38" s="47" t="str">
        <f aca="false">IF($A38="","",IFERROR(INDEX(Palette!$P$2:$P$151,MATCH($A38,Palette!$A$2:$A$151,0)),"Standard"))</f>
        <v/>
      </c>
      <c r="C38" s="40"/>
      <c r="D38" s="9"/>
      <c r="E38" s="9"/>
      <c r="F38" s="42" t="n">
        <f aca="false">IF(N($E38)=0,0,IF(N($C38)&gt;0,$C38*10,N($D38)))</f>
        <v>0</v>
      </c>
      <c r="G38" s="42" t="n">
        <f aca="false">IF(N($E38)=0,0,ROUNDUP($B$30/IF($B38="Drought-adapted",ROUND(INDEX($B$9:$D$11,1,$B$28)*1.5,0),INDEX($B$9:$D$11,1,$B$28)),0))</f>
        <v>0</v>
      </c>
      <c r="H38" s="42" t="n">
        <f aca="false">IF(N($E38)=0,0,ROUNDUP($B$30/IF($B38="Drought-adapted",ROUND(INDEX($B$9:$D$11,2,$B$28)*1.5,0),INDEX($B$9:$D$11,2,$B$28)),0))</f>
        <v>0</v>
      </c>
      <c r="I38" s="42" t="n">
        <f aca="false">IF(OR(N($E38)=0,$B38="Drought-adapted"),0,ROUNDUP($B$30/INDEX($B$9:$D$11,3,$B$28),0))</f>
        <v>0</v>
      </c>
      <c r="J38" s="56" t="n">
        <f aca="false">F38*N(E38)*(G38+H38+I38)</f>
        <v>0</v>
      </c>
    </row>
    <row r="39" customFormat="false" ht="15" hidden="false" customHeight="true" outlineLevel="0" collapsed="false">
      <c r="A39" s="55"/>
      <c r="B39" s="47" t="str">
        <f aca="false">IF($A39="","",IFERROR(INDEX(Palette!$P$2:$P$151,MATCH($A39,Palette!$A$2:$A$151,0)),"Standard"))</f>
        <v/>
      </c>
      <c r="C39" s="40"/>
      <c r="D39" s="9"/>
      <c r="E39" s="9"/>
      <c r="F39" s="42" t="n">
        <f aca="false">IF(N($E39)=0,0,IF(N($C39)&gt;0,$C39*10,N($D39)))</f>
        <v>0</v>
      </c>
      <c r="G39" s="42" t="n">
        <f aca="false">IF(N($E39)=0,0,ROUNDUP($B$30/IF($B39="Drought-adapted",ROUND(INDEX($B$9:$D$11,1,$B$28)*1.5,0),INDEX($B$9:$D$11,1,$B$28)),0))</f>
        <v>0</v>
      </c>
      <c r="H39" s="42" t="n">
        <f aca="false">IF(N($E39)=0,0,ROUNDUP($B$30/IF($B39="Drought-adapted",ROUND(INDEX($B$9:$D$11,2,$B$28)*1.5,0),INDEX($B$9:$D$11,2,$B$28)),0))</f>
        <v>0</v>
      </c>
      <c r="I39" s="42" t="n">
        <f aca="false">IF(OR(N($E39)=0,$B39="Drought-adapted"),0,ROUNDUP($B$30/INDEX($B$9:$D$11,3,$B$28),0))</f>
        <v>0</v>
      </c>
      <c r="J39" s="56" t="n">
        <f aca="false">F39*N(E39)*(G39+H39+I39)</f>
        <v>0</v>
      </c>
    </row>
    <row r="41" customFormat="false" ht="15" hidden="false" customHeight="true" outlineLevel="0" collapsed="false">
      <c r="A41" s="57" t="s">
        <v>896</v>
      </c>
      <c r="B41" s="57"/>
      <c r="C41" s="57"/>
      <c r="D41" s="57"/>
      <c r="E41" s="57"/>
      <c r="F41" s="57"/>
      <c r="G41" s="42" t="n">
        <f aca="false">MAX(G34:G39)</f>
        <v>18</v>
      </c>
      <c r="H41" s="42" t="n">
        <f aca="false">MAX(H34:H39)</f>
        <v>9</v>
      </c>
      <c r="I41" s="42" t="n">
        <f aca="false">MAX(I34:I39)</f>
        <v>5</v>
      </c>
      <c r="J41" s="42" t="n">
        <f aca="false">SUM(G41:I41)</f>
        <v>32</v>
      </c>
    </row>
    <row r="42" customFormat="false" ht="15" hidden="false" customHeight="true" outlineLevel="0" collapsed="false">
      <c r="A42" s="57" t="s">
        <v>897</v>
      </c>
      <c r="B42" s="57"/>
      <c r="C42" s="57"/>
      <c r="D42" s="57"/>
      <c r="E42" s="57"/>
      <c r="F42" s="57"/>
      <c r="G42" s="56" t="n">
        <f aca="false">SUMPRODUCT($F$34:$F$39,$E$34:$E$39,G34:G39)</f>
        <v>2250</v>
      </c>
      <c r="H42" s="56" t="n">
        <f aca="false">SUMPRODUCT($F$34:$F$39,$E$34:$E$39,H34:H39)</f>
        <v>1125</v>
      </c>
      <c r="I42" s="56" t="n">
        <f aca="false">SUMPRODUCT($F$34:$F$39,$E$34:$E$39,I34:I39)</f>
        <v>625</v>
      </c>
      <c r="J42" s="56" t="n">
        <f aca="false">SUM(G42:I42)</f>
        <v>4000</v>
      </c>
    </row>
    <row r="43" customFormat="false" ht="15" hidden="false" customHeight="true" outlineLevel="0" collapsed="false">
      <c r="A43" s="57" t="s">
        <v>898</v>
      </c>
      <c r="B43" s="57"/>
      <c r="C43" s="57"/>
      <c r="D43" s="57"/>
      <c r="E43" s="57"/>
      <c r="F43" s="57"/>
      <c r="G43" s="58" t="n">
        <f aca="false">G41*$B$29</f>
        <v>27</v>
      </c>
      <c r="H43" s="58" t="n">
        <f aca="false">H41*$B$29</f>
        <v>13.5</v>
      </c>
      <c r="I43" s="58" t="n">
        <f aca="false">I41*$B$29</f>
        <v>7.5</v>
      </c>
      <c r="J43" s="58" t="n">
        <f aca="false">SUM(G43:I43)</f>
        <v>48</v>
      </c>
    </row>
    <row r="44" customFormat="false" ht="15" hidden="false" customHeight="true" outlineLevel="0" collapsed="false">
      <c r="A44" s="59" t="s">
        <v>899</v>
      </c>
      <c r="B44" s="59"/>
      <c r="C44" s="59"/>
      <c r="D44" s="59"/>
      <c r="E44" s="59"/>
      <c r="F44" s="59"/>
      <c r="G44" s="45" t="n">
        <f aca="false">G43*$B$31</f>
        <v>4050</v>
      </c>
      <c r="H44" s="45" t="n">
        <f aca="false">H43*$B$31</f>
        <v>2025</v>
      </c>
      <c r="I44" s="45" t="n">
        <f aca="false">I43*$B$31</f>
        <v>1125</v>
      </c>
      <c r="J44" s="60" t="n">
        <f aca="false">SUM(G44:I44)</f>
        <v>7200</v>
      </c>
    </row>
    <row r="45" customFormat="false" ht="30" hidden="false" customHeight="true" outlineLevel="0" collapsed="false">
      <c r="A45" s="17" t="s">
        <v>900</v>
      </c>
      <c r="B45" s="17"/>
      <c r="C45" s="17"/>
      <c r="D45" s="17"/>
      <c r="E45" s="17"/>
      <c r="F45" s="17"/>
      <c r="G45" s="17"/>
      <c r="H45" s="17"/>
      <c r="I45" s="17"/>
      <c r="J45" s="17"/>
    </row>
    <row r="47" customFormat="false" ht="15.75" hidden="false" customHeight="true" outlineLevel="0" collapsed="false">
      <c r="A47" s="4" t="s">
        <v>901</v>
      </c>
      <c r="B47" s="4"/>
      <c r="C47" s="4"/>
      <c r="D47" s="4"/>
      <c r="E47" s="4"/>
      <c r="F47" s="4"/>
      <c r="G47" s="4"/>
      <c r="H47" s="4"/>
      <c r="I47" s="4"/>
      <c r="J47" s="4"/>
    </row>
    <row r="48" customFormat="false" ht="25.5" hidden="false" customHeight="true" outlineLevel="0" collapsed="false">
      <c r="A48" s="19" t="s">
        <v>902</v>
      </c>
      <c r="B48" s="17" t="s">
        <v>903</v>
      </c>
      <c r="C48" s="17"/>
      <c r="D48" s="17"/>
      <c r="E48" s="17"/>
      <c r="F48" s="17"/>
      <c r="G48" s="17"/>
      <c r="H48" s="17"/>
      <c r="I48" s="17"/>
      <c r="J48" s="17"/>
    </row>
    <row r="49" customFormat="false" ht="15" hidden="false" customHeight="true" outlineLevel="0" collapsed="false">
      <c r="A49" s="19" t="s">
        <v>904</v>
      </c>
      <c r="B49" s="17" t="s">
        <v>905</v>
      </c>
      <c r="C49" s="17"/>
      <c r="D49" s="17"/>
      <c r="E49" s="17"/>
      <c r="F49" s="17"/>
      <c r="G49" s="17"/>
      <c r="H49" s="17"/>
      <c r="I49" s="17"/>
      <c r="J49" s="17"/>
    </row>
    <row r="50" customFormat="false" ht="15" hidden="false" customHeight="true" outlineLevel="0" collapsed="false">
      <c r="A50" s="19" t="s">
        <v>906</v>
      </c>
      <c r="B50" s="17" t="s">
        <v>907</v>
      </c>
      <c r="C50" s="17"/>
      <c r="D50" s="17"/>
      <c r="E50" s="17"/>
      <c r="F50" s="17"/>
      <c r="G50" s="17"/>
      <c r="H50" s="17"/>
      <c r="I50" s="17"/>
      <c r="J50" s="17"/>
    </row>
    <row r="51" customFormat="false" ht="25.5" hidden="false" customHeight="true" outlineLevel="0" collapsed="false">
      <c r="A51" s="19" t="s">
        <v>908</v>
      </c>
      <c r="B51" s="17" t="s">
        <v>909</v>
      </c>
      <c r="C51" s="17"/>
      <c r="D51" s="17"/>
      <c r="E51" s="17"/>
      <c r="F51" s="17"/>
      <c r="G51" s="17"/>
      <c r="H51" s="17"/>
      <c r="I51" s="17"/>
      <c r="J51" s="17"/>
    </row>
    <row r="53" customFormat="false" ht="15.75" hidden="false" customHeight="true" outlineLevel="0" collapsed="false">
      <c r="A53" s="4" t="s">
        <v>910</v>
      </c>
      <c r="B53" s="4"/>
      <c r="C53" s="4"/>
      <c r="D53" s="4"/>
      <c r="E53" s="4"/>
      <c r="F53" s="4"/>
      <c r="G53" s="4"/>
      <c r="H53" s="4"/>
      <c r="I53" s="4"/>
      <c r="J53" s="4"/>
    </row>
    <row r="54" customFormat="false" ht="27.75" hidden="false" customHeight="true" outlineLevel="0" collapsed="false">
      <c r="A54" s="17" t="s">
        <v>911</v>
      </c>
      <c r="B54" s="17"/>
      <c r="C54" s="17"/>
      <c r="D54" s="17"/>
      <c r="E54" s="17"/>
      <c r="F54" s="17"/>
      <c r="G54" s="17"/>
      <c r="H54" s="17"/>
      <c r="I54" s="17"/>
      <c r="J54" s="17"/>
    </row>
    <row r="55" customFormat="false" ht="27.75" hidden="false" customHeight="true" outlineLevel="0" collapsed="false">
      <c r="A55" s="17" t="s">
        <v>912</v>
      </c>
      <c r="B55" s="17"/>
      <c r="C55" s="17"/>
      <c r="D55" s="17"/>
      <c r="E55" s="17"/>
      <c r="F55" s="17"/>
      <c r="G55" s="17"/>
      <c r="H55" s="17"/>
      <c r="I55" s="17"/>
      <c r="J55" s="17"/>
    </row>
  </sheetData>
  <mergeCells count="34">
    <mergeCell ref="A1:J1"/>
    <mergeCell ref="A2:J2"/>
    <mergeCell ref="A4:J4"/>
    <mergeCell ref="A5:J5"/>
    <mergeCell ref="A7:J7"/>
    <mergeCell ref="A12:J12"/>
    <mergeCell ref="A14:J14"/>
    <mergeCell ref="B15:J15"/>
    <mergeCell ref="B16:J16"/>
    <mergeCell ref="B17:J17"/>
    <mergeCell ref="B18:J18"/>
    <mergeCell ref="A20:J20"/>
    <mergeCell ref="A21:J21"/>
    <mergeCell ref="A23:J23"/>
    <mergeCell ref="A24:J24"/>
    <mergeCell ref="A26:J26"/>
    <mergeCell ref="A27:J27"/>
    <mergeCell ref="C28:J28"/>
    <mergeCell ref="C29:J29"/>
    <mergeCell ref="C30:J30"/>
    <mergeCell ref="C31:J31"/>
    <mergeCell ref="A41:F41"/>
    <mergeCell ref="A42:F42"/>
    <mergeCell ref="A43:F43"/>
    <mergeCell ref="A44:F44"/>
    <mergeCell ref="A45:J45"/>
    <mergeCell ref="A47:J47"/>
    <mergeCell ref="B48:J48"/>
    <mergeCell ref="B49:J49"/>
    <mergeCell ref="B50:J50"/>
    <mergeCell ref="B51:J51"/>
    <mergeCell ref="A53:J53"/>
    <mergeCell ref="A54:J54"/>
    <mergeCell ref="A55:J55"/>
  </mergeCells>
  <dataValidations count="2">
    <dataValidation allowBlank="true" errorStyle="warning" operator="between" showDropDown="false" showErrorMessage="true" showInputMessage="false" sqref="B28" type="list">
      <formula1>Lists!$D$2:$D$4</formula1>
      <formula2>0</formula2>
    </dataValidation>
    <dataValidation allowBlank="true" errorStyle="warning" operator="between" showDropDown="false" showErrorMessage="true" showInputMessage="false" sqref="A34:A39" type="list">
      <formula1>Palette!$A$2:$A$151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tru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6"/>
  </cols>
  <sheetData>
    <row r="1" customFormat="false" ht="21.75" hidden="false" customHeight="true" outlineLevel="0" collapsed="false">
      <c r="A1" s="20" t="s">
        <v>913</v>
      </c>
      <c r="B1" s="20"/>
      <c r="C1" s="20"/>
      <c r="D1" s="20"/>
      <c r="E1" s="20"/>
    </row>
    <row r="2" customFormat="false" ht="15.75" hidden="false" customHeight="true" outlineLevel="0" collapsed="false">
      <c r="A2" s="3" t="s">
        <v>914</v>
      </c>
      <c r="B2" s="3"/>
      <c r="C2" s="3"/>
      <c r="D2" s="3"/>
      <c r="E2" s="3"/>
    </row>
    <row r="3" customFormat="false" ht="15" hidden="false" customHeight="true" outlineLevel="0" collapsed="false">
      <c r="A3" s="6" t="s">
        <v>127</v>
      </c>
      <c r="B3" s="55"/>
      <c r="C3" s="55"/>
      <c r="D3" s="55"/>
      <c r="E3" s="55"/>
    </row>
    <row r="4" customFormat="false" ht="15" hidden="false" customHeight="true" outlineLevel="0" collapsed="false">
      <c r="A4" s="6" t="s">
        <v>915</v>
      </c>
      <c r="B4" s="55"/>
      <c r="C4" s="55"/>
      <c r="D4" s="55"/>
      <c r="E4" s="55"/>
    </row>
    <row r="5" customFormat="false" ht="15" hidden="false" customHeight="true" outlineLevel="0" collapsed="false">
      <c r="A5" s="6" t="s">
        <v>916</v>
      </c>
      <c r="B5" s="61"/>
      <c r="C5" s="61"/>
      <c r="D5" s="61"/>
      <c r="E5" s="61"/>
    </row>
    <row r="6" customFormat="false" ht="15" hidden="false" customHeight="true" outlineLevel="0" collapsed="false">
      <c r="A6" s="6" t="s">
        <v>917</v>
      </c>
      <c r="B6" s="55"/>
      <c r="C6" s="55"/>
      <c r="D6" s="55"/>
      <c r="E6" s="55"/>
    </row>
    <row r="7" customFormat="false" ht="15" hidden="false" customHeight="true" outlineLevel="0" collapsed="false">
      <c r="A7" s="6" t="s">
        <v>918</v>
      </c>
      <c r="B7" s="55"/>
      <c r="C7" s="55"/>
      <c r="D7" s="55"/>
      <c r="E7" s="55"/>
    </row>
    <row r="8" customFormat="false" ht="15" hidden="false" customHeight="true" outlineLevel="0" collapsed="false">
      <c r="A8" s="6" t="s">
        <v>141</v>
      </c>
      <c r="B8" s="62" t="n">
        <f aca="false">'Establishment Water'!$B$28</f>
        <v>2</v>
      </c>
      <c r="C8" s="62"/>
      <c r="D8" s="62"/>
      <c r="E8" s="62"/>
    </row>
    <row r="9" customFormat="false" ht="15" hidden="false" customHeight="true" outlineLevel="0" collapsed="false">
      <c r="A9" s="6" t="s">
        <v>919</v>
      </c>
      <c r="B9" s="63" t="str">
        <f aca="false">IF($B$5="","(enter install date)",DATE(IF($B$5="","",YEAR($B$5)+IF(MONTH($B$5)&gt;=10,1,0))+2,10,15))</f>
        <v>(enter install date)</v>
      </c>
      <c r="C9" s="63"/>
      <c r="D9" s="63"/>
      <c r="E9" s="63"/>
    </row>
    <row r="11" customFormat="false" ht="15.75" hidden="false" customHeight="true" outlineLevel="0" collapsed="false">
      <c r="A11" s="4" t="s">
        <v>920</v>
      </c>
      <c r="B11" s="4"/>
      <c r="C11" s="4"/>
      <c r="D11" s="4"/>
      <c r="E11" s="4"/>
    </row>
    <row r="12" customFormat="false" ht="27.75" hidden="false" customHeight="true" outlineLevel="0" collapsed="false">
      <c r="A12" s="64" t="s">
        <v>921</v>
      </c>
      <c r="B12" s="52" t="s">
        <v>922</v>
      </c>
      <c r="C12" s="65" t="str">
        <f aca="false">IF($B$5="","Summer "&amp;1,"Summer "&amp;(IF($B$5="","",YEAR($B$5)+IF(MONTH($B$5)&gt;=10,1,0))+0))</f>
        <v>Summer 1</v>
      </c>
      <c r="D12" s="65" t="str">
        <f aca="false">IF($B$5="","Summer "&amp;2,"Summer "&amp;(IF($B$5="","",YEAR($B$5)+IF(MONTH($B$5)&gt;=10,1,0))+1))</f>
        <v>Summer 2</v>
      </c>
      <c r="E12" s="65" t="str">
        <f aca="false">IF($B$5="","Summer "&amp;3,"Summer "&amp;(IF($B$5="","",YEAR($B$5)+IF(MONTH($B$5)&gt;=10,1,0))+2))</f>
        <v>Summer 3</v>
      </c>
    </row>
    <row r="13" customFormat="false" ht="15" hidden="false" customHeight="true" outlineLevel="0" collapsed="false">
      <c r="A13" s="43" t="str">
        <f aca="false">IF('Establishment Water'!$A34="","",'Establishment Water'!$A34)</f>
        <v>Morella californica</v>
      </c>
      <c r="B13" s="42" t="n">
        <f aca="false">IF($A13="","",'Establishment Water'!$F34)</f>
        <v>5</v>
      </c>
      <c r="C13" s="47" t="str">
        <f aca="false">IF($A13="","",IF('Establishment Water'!$B34="Drought-adapted",ROUND(INDEX('Establishment Water'!$B$9:$D$11,1,'Establishment Water'!$B$28)*1.5,0),INDEX('Establishment Water'!$B$9:$D$11,1,'Establishment Water'!$B$28))&amp;" days")</f>
        <v>7 days</v>
      </c>
      <c r="D13" s="47" t="str">
        <f aca="false">IF($A13="","",IF('Establishment Water'!$B34="Drought-adapted",ROUND(INDEX('Establishment Water'!$B$9:$D$11,2,'Establishment Water'!$B$28)*1.5,0),INDEX('Establishment Water'!$B$9:$D$11,2,'Establishment Water'!$B$28))&amp;" days")</f>
        <v>14 days</v>
      </c>
      <c r="E13" s="47" t="str">
        <f aca="false">IF($A13="","",IF('Establishment Water'!$B34="Drought-adapted","No water",INDEX('Establishment Water'!$B$9:$D$11,3,'Establishment Water'!$B$28)&amp;" days"))</f>
        <v>28 days</v>
      </c>
    </row>
    <row r="14" customFormat="false" ht="15" hidden="false" customHeight="true" outlineLevel="0" collapsed="false">
      <c r="A14" s="43" t="str">
        <f aca="false">IF('Establishment Water'!$A35="","",'Establishment Water'!$A35)</f>
        <v/>
      </c>
      <c r="B14" s="42" t="str">
        <f aca="false">IF($A14="","",'Establishment Water'!$F35)</f>
        <v/>
      </c>
      <c r="C14" s="47" t="str">
        <f aca="false">IF($A14="","",IF('Establishment Water'!$B35="Drought-adapted",ROUND(INDEX('Establishment Water'!$B$9:$D$11,1,'Establishment Water'!$B$28)*1.5,0),INDEX('Establishment Water'!$B$9:$D$11,1,'Establishment Water'!$B$28))&amp;" days")</f>
        <v/>
      </c>
      <c r="D14" s="47" t="str">
        <f aca="false">IF($A14="","",IF('Establishment Water'!$B35="Drought-adapted",ROUND(INDEX('Establishment Water'!$B$9:$D$11,2,'Establishment Water'!$B$28)*1.5,0),INDEX('Establishment Water'!$B$9:$D$11,2,'Establishment Water'!$B$28))&amp;" days")</f>
        <v/>
      </c>
      <c r="E14" s="47" t="str">
        <f aca="false">IF($A14="","",IF('Establishment Water'!$B35="Drought-adapted","No water",INDEX('Establishment Water'!$B$9:$D$11,3,'Establishment Water'!$B$28)&amp;" days"))</f>
        <v/>
      </c>
    </row>
    <row r="15" customFormat="false" ht="15" hidden="false" customHeight="true" outlineLevel="0" collapsed="false">
      <c r="A15" s="43" t="str">
        <f aca="false">IF('Establishment Water'!$A36="","",'Establishment Water'!$A36)</f>
        <v/>
      </c>
      <c r="B15" s="42" t="str">
        <f aca="false">IF($A15="","",'Establishment Water'!$F36)</f>
        <v/>
      </c>
      <c r="C15" s="47" t="str">
        <f aca="false">IF($A15="","",IF('Establishment Water'!$B36="Drought-adapted",ROUND(INDEX('Establishment Water'!$B$9:$D$11,1,'Establishment Water'!$B$28)*1.5,0),INDEX('Establishment Water'!$B$9:$D$11,1,'Establishment Water'!$B$28))&amp;" days")</f>
        <v/>
      </c>
      <c r="D15" s="47" t="str">
        <f aca="false">IF($A15="","",IF('Establishment Water'!$B36="Drought-adapted",ROUND(INDEX('Establishment Water'!$B$9:$D$11,2,'Establishment Water'!$B$28)*1.5,0),INDEX('Establishment Water'!$B$9:$D$11,2,'Establishment Water'!$B$28))&amp;" days")</f>
        <v/>
      </c>
      <c r="E15" s="47" t="str">
        <f aca="false">IF($A15="","",IF('Establishment Water'!$B36="Drought-adapted","No water",INDEX('Establishment Water'!$B$9:$D$11,3,'Establishment Water'!$B$28)&amp;" days"))</f>
        <v/>
      </c>
    </row>
    <row r="16" customFormat="false" ht="15" hidden="false" customHeight="true" outlineLevel="0" collapsed="false">
      <c r="A16" s="43" t="str">
        <f aca="false">IF('Establishment Water'!$A37="","",'Establishment Water'!$A37)</f>
        <v/>
      </c>
      <c r="B16" s="42" t="str">
        <f aca="false">IF($A16="","",'Establishment Water'!$F37)</f>
        <v/>
      </c>
      <c r="C16" s="47" t="str">
        <f aca="false">IF($A16="","",IF('Establishment Water'!$B37="Drought-adapted",ROUND(INDEX('Establishment Water'!$B$9:$D$11,1,'Establishment Water'!$B$28)*1.5,0),INDEX('Establishment Water'!$B$9:$D$11,1,'Establishment Water'!$B$28))&amp;" days")</f>
        <v/>
      </c>
      <c r="D16" s="47" t="str">
        <f aca="false">IF($A16="","",IF('Establishment Water'!$B37="Drought-adapted",ROUND(INDEX('Establishment Water'!$B$9:$D$11,2,'Establishment Water'!$B$28)*1.5,0),INDEX('Establishment Water'!$B$9:$D$11,2,'Establishment Water'!$B$28))&amp;" days")</f>
        <v/>
      </c>
      <c r="E16" s="47" t="str">
        <f aca="false">IF($A16="","",IF('Establishment Water'!$B37="Drought-adapted","No water",INDEX('Establishment Water'!$B$9:$D$11,3,'Establishment Water'!$B$28)&amp;" days"))</f>
        <v/>
      </c>
    </row>
    <row r="17" customFormat="false" ht="15" hidden="false" customHeight="true" outlineLevel="0" collapsed="false">
      <c r="A17" s="43" t="str">
        <f aca="false">IF('Establishment Water'!$A38="","",'Establishment Water'!$A38)</f>
        <v/>
      </c>
      <c r="B17" s="42" t="str">
        <f aca="false">IF($A17="","",'Establishment Water'!$F38)</f>
        <v/>
      </c>
      <c r="C17" s="47" t="str">
        <f aca="false">IF($A17="","",IF('Establishment Water'!$B38="Drought-adapted",ROUND(INDEX('Establishment Water'!$B$9:$D$11,1,'Establishment Water'!$B$28)*1.5,0),INDEX('Establishment Water'!$B$9:$D$11,1,'Establishment Water'!$B$28))&amp;" days")</f>
        <v/>
      </c>
      <c r="D17" s="47" t="str">
        <f aca="false">IF($A17="","",IF('Establishment Water'!$B38="Drought-adapted",ROUND(INDEX('Establishment Water'!$B$9:$D$11,2,'Establishment Water'!$B$28)*1.5,0),INDEX('Establishment Water'!$B$9:$D$11,2,'Establishment Water'!$B$28))&amp;" days")</f>
        <v/>
      </c>
      <c r="E17" s="47" t="str">
        <f aca="false">IF($A17="","",IF('Establishment Water'!$B38="Drought-adapted","No water",INDEX('Establishment Water'!$B$9:$D$11,3,'Establishment Water'!$B$28)&amp;" days"))</f>
        <v/>
      </c>
    </row>
    <row r="18" customFormat="false" ht="15" hidden="false" customHeight="true" outlineLevel="0" collapsed="false">
      <c r="A18" s="43" t="str">
        <f aca="false">IF('Establishment Water'!$A39="","",'Establishment Water'!$A39)</f>
        <v/>
      </c>
      <c r="B18" s="42" t="str">
        <f aca="false">IF($A18="","",'Establishment Water'!$F39)</f>
        <v/>
      </c>
      <c r="C18" s="47" t="str">
        <f aca="false">IF($A18="","",IF('Establishment Water'!$B39="Drought-adapted",ROUND(INDEX('Establishment Water'!$B$9:$D$11,1,'Establishment Water'!$B$28)*1.5,0),INDEX('Establishment Water'!$B$9:$D$11,1,'Establishment Water'!$B$28))&amp;" days")</f>
        <v/>
      </c>
      <c r="D18" s="47" t="str">
        <f aca="false">IF($A18="","",IF('Establishment Water'!$B39="Drought-adapted",ROUND(INDEX('Establishment Water'!$B$9:$D$11,2,'Establishment Water'!$B$28)*1.5,0),INDEX('Establishment Water'!$B$9:$D$11,2,'Establishment Water'!$B$28))&amp;" days")</f>
        <v/>
      </c>
      <c r="E18" s="47" t="str">
        <f aca="false">IF($A18="","",IF('Establishment Water'!$B39="Drought-adapted","No water",INDEX('Establishment Water'!$B$9:$D$11,3,'Establishment Water'!$B$28)&amp;" days"))</f>
        <v/>
      </c>
    </row>
    <row r="20" customFormat="false" ht="15.75" hidden="false" customHeight="true" outlineLevel="0" collapsed="false">
      <c r="A20" s="4" t="s">
        <v>923</v>
      </c>
      <c r="B20" s="4"/>
      <c r="C20" s="4"/>
      <c r="D20" s="4"/>
      <c r="E20" s="4"/>
    </row>
    <row r="21" customFormat="false" ht="25.5" hidden="false" customHeight="true" outlineLevel="0" collapsed="false">
      <c r="A21" s="19" t="s">
        <v>106</v>
      </c>
      <c r="B21" s="17" t="s">
        <v>924</v>
      </c>
      <c r="C21" s="17"/>
      <c r="D21" s="17"/>
      <c r="E21" s="17"/>
    </row>
    <row r="22" customFormat="false" ht="25.5" hidden="false" customHeight="true" outlineLevel="0" collapsed="false">
      <c r="A22" s="19" t="s">
        <v>108</v>
      </c>
      <c r="B22" s="17" t="s">
        <v>925</v>
      </c>
      <c r="C22" s="17"/>
      <c r="D22" s="17"/>
      <c r="E22" s="17"/>
    </row>
    <row r="23" customFormat="false" ht="15" hidden="false" customHeight="true" outlineLevel="0" collapsed="false">
      <c r="A23" s="19" t="s">
        <v>110</v>
      </c>
      <c r="B23" s="17" t="s">
        <v>926</v>
      </c>
      <c r="C23" s="17"/>
      <c r="D23" s="17"/>
      <c r="E23" s="17"/>
    </row>
    <row r="24" customFormat="false" ht="25.5" hidden="false" customHeight="true" outlineLevel="0" collapsed="false">
      <c r="A24" s="19" t="s">
        <v>112</v>
      </c>
      <c r="B24" s="17" t="s">
        <v>927</v>
      </c>
      <c r="C24" s="17"/>
      <c r="D24" s="17"/>
      <c r="E24" s="17"/>
    </row>
    <row r="25" customFormat="false" ht="25.5" hidden="false" customHeight="true" outlineLevel="0" collapsed="false">
      <c r="A25" s="19" t="s">
        <v>114</v>
      </c>
      <c r="B25" s="17" t="s">
        <v>928</v>
      </c>
      <c r="C25" s="17"/>
      <c r="D25" s="17"/>
      <c r="E25" s="17"/>
    </row>
    <row r="26" customFormat="false" ht="25.5" hidden="false" customHeight="true" outlineLevel="0" collapsed="false">
      <c r="A26" s="19" t="s">
        <v>337</v>
      </c>
      <c r="B26" s="17" t="s">
        <v>929</v>
      </c>
      <c r="C26" s="17"/>
      <c r="D26" s="17"/>
      <c r="E26" s="17"/>
    </row>
    <row r="27" customFormat="false" ht="25.5" hidden="false" customHeight="true" outlineLevel="0" collapsed="false">
      <c r="A27" s="19" t="s">
        <v>930</v>
      </c>
      <c r="B27" s="17" t="s">
        <v>931</v>
      </c>
      <c r="C27" s="17"/>
      <c r="D27" s="17"/>
      <c r="E27" s="17"/>
    </row>
  </sheetData>
  <mergeCells count="18">
    <mergeCell ref="A1:E1"/>
    <mergeCell ref="A2:E2"/>
    <mergeCell ref="B3:E3"/>
    <mergeCell ref="B4:E4"/>
    <mergeCell ref="B5:E5"/>
    <mergeCell ref="B6:E6"/>
    <mergeCell ref="B7:E7"/>
    <mergeCell ref="B8:E8"/>
    <mergeCell ref="B9:E9"/>
    <mergeCell ref="A11:E11"/>
    <mergeCell ref="A20:E20"/>
    <mergeCell ref="B21:E21"/>
    <mergeCell ref="B22:E22"/>
    <mergeCell ref="B23:E23"/>
    <mergeCell ref="B24:E24"/>
    <mergeCell ref="B25:E25"/>
    <mergeCell ref="B26:E26"/>
    <mergeCell ref="B27:E27"/>
  </mergeCells>
  <dataValidations count="1">
    <dataValidation allowBlank="true" errorStyle="warning" operator="between" showDropDown="false" showErrorMessage="true" showInputMessage="false" sqref="B6" type="list">
      <formula1>Lists!$G$2:$G$3</formula1>
      <formula2>0</formula2>
    </dataValidation>
  </dataValidations>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6" min="2" style="1" width="16"/>
  </cols>
  <sheetData>
    <row r="1" customFormat="false" ht="15" hidden="false" customHeight="true" outlineLevel="0" collapsed="false">
      <c r="A1" s="66" t="s">
        <v>932</v>
      </c>
    </row>
    <row r="2" customFormat="false" ht="30" hidden="false" customHeight="true" outlineLevel="0" collapsed="false">
      <c r="A2" s="67" t="s">
        <v>933</v>
      </c>
      <c r="B2" s="67"/>
      <c r="C2" s="67"/>
      <c r="D2" s="67"/>
      <c r="E2" s="67"/>
      <c r="F2" s="67"/>
    </row>
    <row r="4" customFormat="false" ht="15" hidden="false" customHeight="true" outlineLevel="0" collapsed="false">
      <c r="A4" s="6" t="s">
        <v>6</v>
      </c>
      <c r="B4" s="54" t="n">
        <f aca="false">'Start Here'!$B$6</f>
        <v>150</v>
      </c>
      <c r="C4" s="68" t="s">
        <v>934</v>
      </c>
    </row>
    <row r="5" customFormat="false" ht="15" hidden="false" customHeight="true" outlineLevel="0" collapsed="false">
      <c r="A5" s="6" t="s">
        <v>8</v>
      </c>
      <c r="B5" s="42" t="n">
        <f aca="false">'Start Here'!$B$7</f>
        <v>15</v>
      </c>
      <c r="C5" s="68" t="s">
        <v>934</v>
      </c>
    </row>
    <row r="7" customFormat="false" ht="25.5" hidden="false" customHeight="true" outlineLevel="0" collapsed="false">
      <c r="A7" s="69" t="s">
        <v>935</v>
      </c>
      <c r="B7" s="70" t="s">
        <v>936</v>
      </c>
      <c r="C7" s="70" t="s">
        <v>181</v>
      </c>
      <c r="D7" s="70" t="s">
        <v>188</v>
      </c>
      <c r="E7" s="70" t="s">
        <v>937</v>
      </c>
      <c r="F7" s="70" t="s">
        <v>938</v>
      </c>
    </row>
    <row r="8" customFormat="false" ht="24" hidden="false" customHeight="true" outlineLevel="0" collapsed="false">
      <c r="A8" s="38" t="s">
        <v>939</v>
      </c>
      <c r="B8" s="71" t="s">
        <v>940</v>
      </c>
      <c r="C8" s="71" t="s">
        <v>941</v>
      </c>
      <c r="D8" s="71" t="s">
        <v>940</v>
      </c>
      <c r="E8" s="71" t="s">
        <v>942</v>
      </c>
      <c r="F8" s="72" t="s">
        <v>943</v>
      </c>
    </row>
    <row r="9" customFormat="false" ht="15" hidden="false" customHeight="true" outlineLevel="0" collapsed="false">
      <c r="A9" s="73" t="s">
        <v>944</v>
      </c>
      <c r="B9" s="74"/>
      <c r="C9" s="74"/>
      <c r="D9" s="74"/>
      <c r="E9" s="74"/>
      <c r="F9" s="74"/>
    </row>
    <row r="10" customFormat="false" ht="15" hidden="false" customHeight="true" outlineLevel="0" collapsed="false">
      <c r="A10" s="12" t="s">
        <v>945</v>
      </c>
      <c r="B10" s="75" t="n">
        <v>2</v>
      </c>
      <c r="C10" s="75" t="n">
        <v>3</v>
      </c>
      <c r="D10" s="75" t="n">
        <v>4</v>
      </c>
      <c r="E10" s="75" t="n">
        <v>0.33</v>
      </c>
      <c r="F10" s="75" t="n">
        <v>0</v>
      </c>
    </row>
    <row r="11" customFormat="false" ht="15" hidden="false" customHeight="true" outlineLevel="0" collapsed="false">
      <c r="A11" s="12" t="s">
        <v>946</v>
      </c>
      <c r="B11" s="40" t="n">
        <v>5</v>
      </c>
      <c r="C11" s="40" t="n">
        <v>2</v>
      </c>
      <c r="D11" s="40" t="n">
        <v>3</v>
      </c>
      <c r="E11" s="40" t="n">
        <v>4</v>
      </c>
      <c r="F11" s="40" t="n">
        <v>0</v>
      </c>
    </row>
    <row r="12" customFormat="false" ht="25.5" hidden="false" customHeight="true" outlineLevel="0" collapsed="false">
      <c r="A12" s="12" t="s">
        <v>947</v>
      </c>
      <c r="B12" s="7" t="n">
        <v>0</v>
      </c>
      <c r="C12" s="7" t="n">
        <v>0</v>
      </c>
      <c r="D12" s="7" t="n">
        <v>0</v>
      </c>
      <c r="E12" s="7" t="n">
        <v>0</v>
      </c>
      <c r="F12" s="54" t="n">
        <f aca="false">'Ash EAB'!$B$11*'Ash EAB'!$B$16/'Ash EAB'!$B$12</f>
        <v>108</v>
      </c>
    </row>
    <row r="13" customFormat="false" ht="15" hidden="false" customHeight="true" outlineLevel="0" collapsed="false">
      <c r="A13" s="12" t="s">
        <v>948</v>
      </c>
      <c r="B13" s="54" t="n">
        <f aca="false">B10*B11*$B$4+B12</f>
        <v>1500</v>
      </c>
      <c r="C13" s="54" t="n">
        <f aca="false">C10*C11*$B$4+C12</f>
        <v>900</v>
      </c>
      <c r="D13" s="54" t="n">
        <f aca="false">D10*D11*$B$4+D12</f>
        <v>1800</v>
      </c>
      <c r="E13" s="54" t="n">
        <f aca="false">E10*E11*$B$4+E12</f>
        <v>198</v>
      </c>
      <c r="F13" s="54" t="n">
        <f aca="false">F10*F11*$B$4+F12</f>
        <v>108</v>
      </c>
    </row>
    <row r="14" customFormat="false" ht="15" hidden="false" customHeight="true" outlineLevel="0" collapsed="false">
      <c r="A14" s="12" t="s">
        <v>949</v>
      </c>
      <c r="B14" s="54" t="n">
        <f aca="false">B13*$B$5</f>
        <v>22500</v>
      </c>
      <c r="C14" s="54" t="n">
        <f aca="false">C13*$B$5</f>
        <v>13500</v>
      </c>
      <c r="D14" s="54" t="n">
        <f aca="false">D13*$B$5</f>
        <v>27000</v>
      </c>
      <c r="E14" s="54" t="n">
        <f aca="false">E13*$B$5</f>
        <v>2970</v>
      </c>
      <c r="F14" s="54" t="n">
        <f aca="false">F13*$B$5</f>
        <v>1620</v>
      </c>
    </row>
    <row r="15" customFormat="false" ht="15" hidden="false" customHeight="true" outlineLevel="0" collapsed="false">
      <c r="A15" s="73" t="s">
        <v>950</v>
      </c>
      <c r="B15" s="74"/>
      <c r="C15" s="74"/>
      <c r="D15" s="74"/>
      <c r="E15" s="74"/>
      <c r="F15" s="74"/>
    </row>
    <row r="16" customFormat="false" ht="15" hidden="false" customHeight="true" outlineLevel="0" collapsed="false">
      <c r="A16" s="12" t="s">
        <v>951</v>
      </c>
      <c r="B16" s="40" t="n">
        <v>20</v>
      </c>
      <c r="C16" s="40" t="n">
        <v>6</v>
      </c>
      <c r="D16" s="40" t="n">
        <v>14</v>
      </c>
      <c r="E16" s="40" t="n">
        <v>8</v>
      </c>
      <c r="F16" s="40" t="n">
        <v>8</v>
      </c>
    </row>
    <row r="17" customFormat="false" ht="15" hidden="false" customHeight="true" outlineLevel="0" collapsed="false">
      <c r="A17" s="12" t="s">
        <v>952</v>
      </c>
      <c r="B17" s="54" t="n">
        <f aca="false">B16*$B$4</f>
        <v>3000</v>
      </c>
      <c r="C17" s="54" t="n">
        <f aca="false">C16*$B$4</f>
        <v>900</v>
      </c>
      <c r="D17" s="54" t="n">
        <f aca="false">D16*$B$4</f>
        <v>2100</v>
      </c>
      <c r="E17" s="54" t="n">
        <f aca="false">E16*$B$4</f>
        <v>1200</v>
      </c>
      <c r="F17" s="54" t="n">
        <f aca="false">F16*$B$4</f>
        <v>1200</v>
      </c>
    </row>
    <row r="18" customFormat="false" ht="15" hidden="false" customHeight="true" outlineLevel="0" collapsed="false">
      <c r="A18" s="12" t="s">
        <v>953</v>
      </c>
      <c r="B18" s="7" t="n">
        <v>800</v>
      </c>
      <c r="C18" s="7" t="n">
        <v>200</v>
      </c>
      <c r="D18" s="7" t="n">
        <v>500</v>
      </c>
      <c r="E18" s="7" t="n">
        <v>400</v>
      </c>
      <c r="F18" s="7" t="n">
        <v>400</v>
      </c>
    </row>
    <row r="19" customFormat="false" ht="15" hidden="false" customHeight="true" outlineLevel="0" collapsed="false">
      <c r="A19" s="12" t="s">
        <v>954</v>
      </c>
      <c r="B19" s="9" t="n">
        <v>25</v>
      </c>
      <c r="C19" s="9" t="n">
        <v>17</v>
      </c>
      <c r="D19" s="9" t="n">
        <v>25</v>
      </c>
      <c r="E19" s="9" t="n">
        <v>1</v>
      </c>
      <c r="F19" s="9" t="n">
        <v>1</v>
      </c>
    </row>
    <row r="20" customFormat="false" ht="15" hidden="false" customHeight="true" outlineLevel="0" collapsed="false">
      <c r="A20" s="12" t="s">
        <v>955</v>
      </c>
      <c r="B20" s="7" t="n">
        <v>55</v>
      </c>
      <c r="C20" s="7" t="n">
        <v>45</v>
      </c>
      <c r="D20" s="7" t="n">
        <v>55</v>
      </c>
      <c r="E20" s="7" t="n">
        <v>350</v>
      </c>
      <c r="F20" s="7" t="n">
        <v>350</v>
      </c>
    </row>
    <row r="21" customFormat="false" ht="15" hidden="false" customHeight="true" outlineLevel="0" collapsed="false">
      <c r="A21" s="12" t="s">
        <v>956</v>
      </c>
      <c r="B21" s="40" t="n">
        <v>10</v>
      </c>
      <c r="C21" s="40" t="n">
        <v>6</v>
      </c>
      <c r="D21" s="40" t="n">
        <v>10</v>
      </c>
      <c r="E21" s="40" t="n">
        <v>4</v>
      </c>
      <c r="F21" s="40" t="n">
        <v>4</v>
      </c>
    </row>
    <row r="22" customFormat="false" ht="25.5" hidden="false" customHeight="true" outlineLevel="0" collapsed="false">
      <c r="A22" s="12" t="s">
        <v>957</v>
      </c>
      <c r="B22" s="7" t="n">
        <v>900</v>
      </c>
      <c r="C22" s="7" t="n">
        <v>500</v>
      </c>
      <c r="D22" s="7" t="n">
        <v>900</v>
      </c>
      <c r="E22" s="7" t="n">
        <v>400</v>
      </c>
      <c r="F22" s="7" t="n">
        <v>400</v>
      </c>
    </row>
    <row r="23" customFormat="false" ht="25.5" hidden="false" customHeight="true" outlineLevel="0" collapsed="false">
      <c r="A23" s="12" t="s">
        <v>958</v>
      </c>
      <c r="B23" s="7" t="n">
        <v>0</v>
      </c>
      <c r="C23" s="7" t="n">
        <v>0</v>
      </c>
      <c r="D23" s="7" t="n">
        <v>0</v>
      </c>
      <c r="E23" s="7" t="n">
        <v>0</v>
      </c>
      <c r="F23" s="7" t="n">
        <v>0</v>
      </c>
    </row>
    <row r="24" customFormat="false" ht="15" hidden="false" customHeight="true" outlineLevel="0" collapsed="false">
      <c r="A24" s="39" t="s">
        <v>959</v>
      </c>
      <c r="B24" s="45" t="n">
        <f aca="false">B17+B18+B19*B20+B21*$B$4+B22+B23</f>
        <v>7575</v>
      </c>
      <c r="C24" s="45" t="n">
        <f aca="false">C17+C18+C19*C20+C21*$B$4+C22+C23</f>
        <v>3265</v>
      </c>
      <c r="D24" s="45" t="n">
        <f aca="false">D17+D18+D19*D20+D21*$B$4+D22+D23</f>
        <v>6375</v>
      </c>
      <c r="E24" s="45" t="n">
        <f aca="false">E17+E18+E19*E20+E21*$B$4+E22+E23</f>
        <v>2950</v>
      </c>
      <c r="F24" s="45" t="n">
        <f aca="false">F17+F18+F19*F20+F21*$B$4+F22+F23</f>
        <v>2950</v>
      </c>
    </row>
    <row r="25" customFormat="false" ht="15" hidden="false" customHeight="true" outlineLevel="0" collapsed="false">
      <c r="A25" s="73" t="s">
        <v>960</v>
      </c>
      <c r="B25" s="74"/>
      <c r="C25" s="74"/>
      <c r="D25" s="74"/>
      <c r="E25" s="74"/>
      <c r="F25" s="74"/>
    </row>
    <row r="26" customFormat="false" ht="15" hidden="false" customHeight="true" outlineLevel="0" collapsed="false">
      <c r="A26" s="12" t="s">
        <v>961</v>
      </c>
      <c r="B26" s="75" t="n">
        <v>1</v>
      </c>
      <c r="C26" s="75" t="n">
        <v>1</v>
      </c>
      <c r="D26" s="75" t="n">
        <v>1</v>
      </c>
      <c r="E26" s="75" t="n">
        <v>0.33</v>
      </c>
      <c r="F26" s="75" t="n">
        <v>0.33</v>
      </c>
    </row>
    <row r="27" customFormat="false" ht="15" hidden="false" customHeight="true" outlineLevel="0" collapsed="false">
      <c r="A27" s="12" t="s">
        <v>946</v>
      </c>
      <c r="B27" s="40" t="n">
        <v>4</v>
      </c>
      <c r="C27" s="40" t="n">
        <v>2</v>
      </c>
      <c r="D27" s="40" t="n">
        <v>4</v>
      </c>
      <c r="E27" s="40" t="n">
        <v>2</v>
      </c>
      <c r="F27" s="40" t="n">
        <v>2</v>
      </c>
    </row>
    <row r="28" customFormat="false" ht="15" hidden="false" customHeight="true" outlineLevel="0" collapsed="false">
      <c r="A28" s="12" t="s">
        <v>948</v>
      </c>
      <c r="B28" s="54" t="n">
        <f aca="false">B26*B27*$B$4</f>
        <v>600</v>
      </c>
      <c r="C28" s="54" t="n">
        <f aca="false">C26*C27*$B$4</f>
        <v>300</v>
      </c>
      <c r="D28" s="54" t="n">
        <f aca="false">D26*D27*$B$4</f>
        <v>600</v>
      </c>
      <c r="E28" s="54" t="n">
        <f aca="false">E26*E27*$B$4</f>
        <v>99</v>
      </c>
      <c r="F28" s="54" t="n">
        <f aca="false">F26*F27*$B$4</f>
        <v>99</v>
      </c>
    </row>
    <row r="29" customFormat="false" ht="15" hidden="false" customHeight="true" outlineLevel="0" collapsed="false">
      <c r="A29" s="12" t="s">
        <v>949</v>
      </c>
      <c r="B29" s="54" t="n">
        <f aca="false">B28*$B$5</f>
        <v>9000</v>
      </c>
      <c r="C29" s="54" t="n">
        <f aca="false">C28*$B$5</f>
        <v>4500</v>
      </c>
      <c r="D29" s="54" t="n">
        <f aca="false">D28*$B$5</f>
        <v>9000</v>
      </c>
      <c r="E29" s="54" t="n">
        <f aca="false">E28*$B$5</f>
        <v>1485</v>
      </c>
      <c r="F29" s="54" t="n">
        <f aca="false">F28*$B$5</f>
        <v>1485</v>
      </c>
    </row>
    <row r="30" customFormat="false" ht="15" hidden="false" customHeight="true" outlineLevel="0" collapsed="false">
      <c r="A30" s="73" t="s">
        <v>962</v>
      </c>
      <c r="B30" s="74"/>
      <c r="C30" s="74"/>
      <c r="D30" s="74"/>
      <c r="E30" s="74"/>
      <c r="F30" s="74"/>
    </row>
    <row r="31" customFormat="false" ht="15" hidden="false" customHeight="true" outlineLevel="0" collapsed="false">
      <c r="A31" s="12" t="s">
        <v>963</v>
      </c>
      <c r="B31" s="54" t="n">
        <f aca="false">B24+B29</f>
        <v>16575</v>
      </c>
      <c r="C31" s="54" t="n">
        <f aca="false">C24+C29</f>
        <v>7765</v>
      </c>
      <c r="D31" s="54" t="n">
        <f aca="false">D24+D29</f>
        <v>15375</v>
      </c>
      <c r="E31" s="54" t="n">
        <f aca="false">E24+E29</f>
        <v>4435</v>
      </c>
      <c r="F31" s="54" t="n">
        <f aca="false">F24+F29</f>
        <v>4435</v>
      </c>
    </row>
    <row r="32" customFormat="false" ht="25.5" hidden="false" customHeight="true" outlineLevel="0" collapsed="false">
      <c r="A32" s="39" t="s">
        <v>964</v>
      </c>
      <c r="B32" s="45" t="n">
        <f aca="false">B14-B31</f>
        <v>5925</v>
      </c>
      <c r="C32" s="45" t="n">
        <f aca="false">C14-C31</f>
        <v>5735</v>
      </c>
      <c r="D32" s="45" t="n">
        <f aca="false">D14-D31</f>
        <v>11625</v>
      </c>
      <c r="E32" s="45" t="n">
        <f aca="false">E14-E31</f>
        <v>-1465</v>
      </c>
      <c r="F32" s="45" t="n">
        <f aca="false">F14-F31</f>
        <v>-2815</v>
      </c>
    </row>
    <row r="33" customFormat="false" ht="15" hidden="false" customHeight="true" outlineLevel="0" collapsed="false">
      <c r="A33" s="39" t="s">
        <v>965</v>
      </c>
      <c r="B33" s="45" t="n">
        <f aca="false">B13-B28</f>
        <v>900</v>
      </c>
      <c r="C33" s="45" t="n">
        <f aca="false">C13-C28</f>
        <v>600</v>
      </c>
      <c r="D33" s="45" t="n">
        <f aca="false">D13-D28</f>
        <v>1200</v>
      </c>
      <c r="E33" s="45" t="n">
        <f aca="false">E13-E28</f>
        <v>99</v>
      </c>
      <c r="F33" s="45" t="n">
        <f aca="false">F13-F28</f>
        <v>9</v>
      </c>
    </row>
    <row r="34" customFormat="false" ht="15" hidden="false" customHeight="true" outlineLevel="0" collapsed="false">
      <c r="A34" s="39" t="s">
        <v>966</v>
      </c>
      <c r="B34" s="76" t="n">
        <f aca="false">IF(B33&lt;=0,"no payback",IF(B24/B33&gt;50,"over 50 yrs",B24/B33))</f>
        <v>8.41666666666667</v>
      </c>
      <c r="C34" s="76" t="n">
        <f aca="false">IF(C33&lt;=0,"no payback",IF(C24/C33&gt;50,"over 50 yrs",C24/C33))</f>
        <v>5.44166666666667</v>
      </c>
      <c r="D34" s="76" t="n">
        <f aca="false">IF(D33&lt;=0,"no payback",IF(D24/D33&gt;50,"over 50 yrs",D24/D33))</f>
        <v>5.3125</v>
      </c>
      <c r="E34" s="76" t="n">
        <f aca="false">IF(E33&lt;=0,"no payback",IF(E24/E33&gt;50,"over 50 yrs",E24/E33))</f>
        <v>29.7979797979798</v>
      </c>
      <c r="F34" s="76" t="str">
        <f aca="false">IF(F33&lt;=0,"no payback",IF(F24/F33&gt;50,"over 50 yrs",F24/F33))</f>
        <v>over 50 yrs</v>
      </c>
    </row>
    <row r="35" customFormat="false" ht="15" hidden="false" customHeight="true" outlineLevel="0" collapsed="false">
      <c r="A35" s="73" t="s">
        <v>967</v>
      </c>
      <c r="B35" s="74"/>
      <c r="C35" s="74"/>
      <c r="D35" s="74"/>
      <c r="E35" s="74"/>
      <c r="F35" s="74"/>
    </row>
    <row r="36" customFormat="false" ht="15" hidden="false" customHeight="true" outlineLevel="0" collapsed="false">
      <c r="A36" s="12" t="s">
        <v>968</v>
      </c>
      <c r="B36" s="7" t="n">
        <v>0</v>
      </c>
      <c r="C36" s="7" t="n">
        <v>0</v>
      </c>
      <c r="D36" s="7" t="n">
        <v>0</v>
      </c>
      <c r="E36" s="7" t="n">
        <v>2400</v>
      </c>
      <c r="F36" s="54" t="n">
        <f aca="false">'Ash EAB'!$B$16*'Ash EAB'!$B$13*'Ash EAB'!$B$14</f>
        <v>2160</v>
      </c>
    </row>
    <row r="37" customFormat="false" ht="15" hidden="false" customHeight="true" outlineLevel="0" collapsed="false">
      <c r="A37" s="39" t="s">
        <v>969</v>
      </c>
      <c r="B37" s="45" t="str">
        <f aca="false">IF(B36=0,"n/a (optional)",B36-(B17+B18))</f>
        <v>n/a (optional)</v>
      </c>
      <c r="C37" s="45" t="str">
        <f aca="false">IF(C36=0,"n/a (optional)",C36-(C17+C18))</f>
        <v>n/a (optional)</v>
      </c>
      <c r="D37" s="45" t="str">
        <f aca="false">IF(D36=0,"n/a (optional)",D36-(D17+D18))</f>
        <v>n/a (optional)</v>
      </c>
      <c r="E37" s="45" t="n">
        <f aca="false">IF(E36=0,"n/a (optional)",E36-(E17+E18))</f>
        <v>800</v>
      </c>
      <c r="F37" s="45" t="n">
        <f aca="false">IF(F36=0,"n/a (optional)",F36-(F17+F18))</f>
        <v>560</v>
      </c>
    </row>
    <row r="39" customFormat="false" ht="15.75" hidden="false" customHeight="true" outlineLevel="0" collapsed="false">
      <c r="A39" s="4" t="s">
        <v>970</v>
      </c>
      <c r="B39" s="4"/>
      <c r="C39" s="4"/>
      <c r="D39" s="4"/>
      <c r="E39" s="4"/>
      <c r="F39" s="4"/>
    </row>
    <row r="40" customFormat="false" ht="30" hidden="false" customHeight="true" outlineLevel="0" collapsed="false">
      <c r="A40" s="17" t="s">
        <v>971</v>
      </c>
      <c r="B40" s="17"/>
      <c r="C40" s="17"/>
      <c r="D40" s="17"/>
      <c r="E40" s="17"/>
      <c r="F40" s="17"/>
    </row>
    <row r="41" customFormat="false" ht="30" hidden="false" customHeight="true" outlineLevel="0" collapsed="false">
      <c r="A41" s="17" t="s">
        <v>972</v>
      </c>
      <c r="B41" s="17"/>
      <c r="C41" s="17"/>
      <c r="D41" s="17"/>
      <c r="E41" s="17"/>
      <c r="F41" s="17"/>
    </row>
    <row r="42" customFormat="false" ht="30" hidden="false" customHeight="true" outlineLevel="0" collapsed="false">
      <c r="A42" s="17" t="s">
        <v>973</v>
      </c>
      <c r="B42" s="17"/>
      <c r="C42" s="17"/>
      <c r="D42" s="17"/>
      <c r="E42" s="17"/>
      <c r="F42" s="17"/>
    </row>
    <row r="43" customFormat="false" ht="51.75" hidden="false" customHeight="true" outlineLevel="0" collapsed="false">
      <c r="A43" s="17" t="s">
        <v>974</v>
      </c>
      <c r="B43" s="17"/>
      <c r="C43" s="17"/>
      <c r="D43" s="17"/>
      <c r="E43" s="17"/>
      <c r="F43" s="17"/>
    </row>
    <row r="44" customFormat="false" ht="30" hidden="false" customHeight="true" outlineLevel="0" collapsed="false">
      <c r="A44" s="17" t="s">
        <v>975</v>
      </c>
      <c r="B44" s="17"/>
      <c r="C44" s="17"/>
      <c r="D44" s="17"/>
      <c r="E44" s="17"/>
      <c r="F44" s="17"/>
    </row>
  </sheetData>
  <mergeCells count="7">
    <mergeCell ref="A2:F2"/>
    <mergeCell ref="A39:F39"/>
    <mergeCell ref="A40:F40"/>
    <mergeCell ref="A41:F41"/>
    <mergeCell ref="A42:F42"/>
    <mergeCell ref="A43:F43"/>
    <mergeCell ref="A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U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28"/>
    <col collapsed="false" customWidth="true" hidden="false" outlineLevel="0" max="5" min="4" style="1" width="7"/>
    <col collapsed="false" customWidth="true" hidden="false" outlineLevel="0" max="6" min="6" style="1" width="20"/>
    <col collapsed="false" customWidth="true" hidden="false" outlineLevel="0" max="7" min="7" style="1" width="26"/>
    <col collapsed="false" customWidth="true" hidden="false" outlineLevel="0" max="9" min="8" style="1" width="9"/>
    <col collapsed="false" customWidth="true" hidden="false" outlineLevel="0" max="10" min="10" style="1" width="8"/>
    <col collapsed="false" customWidth="true" hidden="false" outlineLevel="0" max="11" min="11" style="1" width="9"/>
    <col collapsed="false" customWidth="true" hidden="false" outlineLevel="0" max="16" min="12" style="1" width="6"/>
    <col collapsed="false" customWidth="true" hidden="false" outlineLevel="0" max="17" min="17" style="1" width="12"/>
    <col collapsed="false" customWidth="true" hidden="false" outlineLevel="0" max="18" min="18" style="1" width="8"/>
    <col collapsed="false" customWidth="true" hidden="false" outlineLevel="0" max="19" min="19" style="1" width="20"/>
    <col collapsed="false" customWidth="true" hidden="false" outlineLevel="0" max="20" min="20" style="1" width="34"/>
    <col collapsed="false" customWidth="true" hidden="false" outlineLevel="0" max="21" min="21" style="1" width="11"/>
  </cols>
  <sheetData>
    <row r="1" customFormat="false" ht="36" hidden="false" customHeight="true" outlineLevel="0" collapsed="false">
      <c r="A1" s="32" t="s">
        <v>976</v>
      </c>
      <c r="B1" s="32" t="s">
        <v>977</v>
      </c>
      <c r="C1" s="32" t="s">
        <v>978</v>
      </c>
      <c r="D1" s="32" t="s">
        <v>979</v>
      </c>
      <c r="E1" s="32" t="s">
        <v>143</v>
      </c>
      <c r="F1" s="32" t="s">
        <v>980</v>
      </c>
      <c r="G1" s="32" t="s">
        <v>981</v>
      </c>
      <c r="H1" s="32" t="s">
        <v>982</v>
      </c>
      <c r="I1" s="32" t="s">
        <v>983</v>
      </c>
      <c r="J1" s="32" t="s">
        <v>984</v>
      </c>
      <c r="K1" s="32" t="s">
        <v>985</v>
      </c>
      <c r="L1" s="32" t="s">
        <v>986</v>
      </c>
      <c r="M1" s="32" t="s">
        <v>987</v>
      </c>
      <c r="N1" s="32" t="s">
        <v>988</v>
      </c>
      <c r="O1" s="32" t="s">
        <v>989</v>
      </c>
      <c r="P1" s="32" t="s">
        <v>990</v>
      </c>
      <c r="Q1" s="32" t="s">
        <v>991</v>
      </c>
      <c r="R1" s="32" t="s">
        <v>992</v>
      </c>
      <c r="S1" s="32" t="s">
        <v>993</v>
      </c>
      <c r="T1" s="32" t="s">
        <v>173</v>
      </c>
      <c r="U1" s="32" t="s">
        <v>994</v>
      </c>
    </row>
    <row r="2" customFormat="false" ht="15" hidden="false" customHeight="true" outlineLevel="0" collapsed="false">
      <c r="A2" s="77" t="s">
        <v>995</v>
      </c>
      <c r="B2" s="78" t="n">
        <v>46330</v>
      </c>
      <c r="C2" s="79" t="s">
        <v>996</v>
      </c>
      <c r="D2" s="14" t="n">
        <v>1</v>
      </c>
      <c r="E2" s="14" t="s">
        <v>997</v>
      </c>
      <c r="F2" s="79" t="s">
        <v>998</v>
      </c>
      <c r="G2" s="79" t="s">
        <v>584</v>
      </c>
      <c r="H2" s="14" t="str">
        <f aca="false">IF(G2="","",IFERROR(INDEX(Palette!$K$2:$K$151,MATCH(G2,Palette!$A$2:$A$151,0)),"NOT IN PALETTE"))</f>
        <v>A</v>
      </c>
      <c r="I2" s="77" t="s">
        <v>999</v>
      </c>
      <c r="J2" s="14" t="n">
        <v>25</v>
      </c>
      <c r="K2" s="14" t="s">
        <v>127</v>
      </c>
      <c r="L2" s="14" t="n">
        <v>4</v>
      </c>
      <c r="M2" s="14" t="n">
        <v>4</v>
      </c>
      <c r="N2" s="14" t="n">
        <v>5</v>
      </c>
      <c r="O2" s="14"/>
      <c r="P2" s="14"/>
      <c r="Q2" s="80" t="n">
        <f aca="false">IF(OR(B2="",G2=""),"",IF(AND(R2&lt;&gt;"",R2=0),"closed",IF(L2="",EDATE(B2,12),IF(M2="",EDATE(B2,24),IF(N2="",EDATE(B2,36),IF(O2="",EDATE(B2,60),IF(P2="",EDATE(B2,120),"done")))))))</f>
        <v>48156</v>
      </c>
      <c r="R2" s="14" t="n">
        <v>23</v>
      </c>
      <c r="S2" s="79" t="s">
        <v>1000</v>
      </c>
      <c r="T2" s="79" t="s">
        <v>1001</v>
      </c>
      <c r="U2" s="77" t="s">
        <v>1002</v>
      </c>
    </row>
    <row r="3" customFormat="false" ht="15" hidden="false" customHeight="true" outlineLevel="0" collapsed="false">
      <c r="A3" s="43"/>
      <c r="B3" s="81"/>
      <c r="C3" s="12"/>
      <c r="D3" s="47"/>
      <c r="E3" s="47"/>
      <c r="F3" s="12"/>
      <c r="G3" s="12"/>
      <c r="H3" s="47" t="str">
        <f aca="false">IF(G3="","",IFERROR(INDEX(Palette!$K$2:$K$151,MATCH(G3,Palette!$A$2:$A$151,0)),"NOT IN PALETTE"))</f>
        <v/>
      </c>
      <c r="I3" s="43"/>
      <c r="J3" s="47"/>
      <c r="K3" s="47"/>
      <c r="L3" s="47"/>
      <c r="M3" s="47"/>
      <c r="N3" s="47"/>
      <c r="O3" s="47"/>
      <c r="P3" s="47"/>
      <c r="Q3" s="37" t="str">
        <f aca="false">IF(OR(B3="",G3=""),"",IF(AND(R3&lt;&gt;"",R3=0),"closed",IF(L3="",EDATE(B3,12),IF(M3="",EDATE(B3,24),IF(N3="",EDATE(B3,36),IF(O3="",EDATE(B3,60),IF(P3="",EDATE(B3,120),"done")))))))</f>
        <v/>
      </c>
      <c r="R3" s="47"/>
      <c r="S3" s="12"/>
      <c r="T3" s="12"/>
      <c r="U3" s="43"/>
    </row>
    <row r="4" customFormat="false" ht="15" hidden="false" customHeight="true" outlineLevel="0" collapsed="false">
      <c r="A4" s="43"/>
      <c r="B4" s="81"/>
      <c r="C4" s="12"/>
      <c r="D4" s="47"/>
      <c r="E4" s="47"/>
      <c r="F4" s="12"/>
      <c r="G4" s="12"/>
      <c r="H4" s="47" t="str">
        <f aca="false">IF(G4="","",IFERROR(INDEX(Palette!$K$2:$K$151,MATCH(G4,Palette!$A$2:$A$151,0)),"NOT IN PALETTE"))</f>
        <v/>
      </c>
      <c r="I4" s="43"/>
      <c r="J4" s="47"/>
      <c r="K4" s="47"/>
      <c r="L4" s="47"/>
      <c r="M4" s="47"/>
      <c r="N4" s="47"/>
      <c r="O4" s="47"/>
      <c r="P4" s="47"/>
      <c r="Q4" s="37" t="str">
        <f aca="false">IF(OR(B4="",G4=""),"",IF(AND(R4&lt;&gt;"",R4=0),"closed",IF(L4="",EDATE(B4,12),IF(M4="",EDATE(B4,24),IF(N4="",EDATE(B4,36),IF(O4="",EDATE(B4,60),IF(P4="",EDATE(B4,120),"done")))))))</f>
        <v/>
      </c>
      <c r="R4" s="47"/>
      <c r="S4" s="12"/>
      <c r="T4" s="12"/>
      <c r="U4" s="43"/>
    </row>
    <row r="5" customFormat="false" ht="15" hidden="false" customHeight="true" outlineLevel="0" collapsed="false">
      <c r="A5" s="43"/>
      <c r="B5" s="81"/>
      <c r="C5" s="12"/>
      <c r="D5" s="47"/>
      <c r="E5" s="47"/>
      <c r="F5" s="12"/>
      <c r="G5" s="12"/>
      <c r="H5" s="47" t="str">
        <f aca="false">IF(G5="","",IFERROR(INDEX(Palette!$K$2:$K$151,MATCH(G5,Palette!$A$2:$A$151,0)),"NOT IN PALETTE"))</f>
        <v/>
      </c>
      <c r="I5" s="43"/>
      <c r="J5" s="47"/>
      <c r="K5" s="47"/>
      <c r="L5" s="47"/>
      <c r="M5" s="47"/>
      <c r="N5" s="47"/>
      <c r="O5" s="47"/>
      <c r="P5" s="47"/>
      <c r="Q5" s="37" t="str">
        <f aca="false">IF(OR(B5="",G5=""),"",IF(AND(R5&lt;&gt;"",R5=0),"closed",IF(L5="",EDATE(B5,12),IF(M5="",EDATE(B5,24),IF(N5="",EDATE(B5,36),IF(O5="",EDATE(B5,60),IF(P5="",EDATE(B5,120),"done")))))))</f>
        <v/>
      </c>
      <c r="R5" s="47"/>
      <c r="S5" s="12"/>
      <c r="T5" s="12"/>
      <c r="U5" s="43"/>
    </row>
    <row r="6" customFormat="false" ht="15" hidden="false" customHeight="true" outlineLevel="0" collapsed="false">
      <c r="A6" s="43"/>
      <c r="B6" s="81"/>
      <c r="C6" s="12"/>
      <c r="D6" s="47"/>
      <c r="E6" s="47"/>
      <c r="F6" s="12"/>
      <c r="G6" s="12"/>
      <c r="H6" s="47" t="str">
        <f aca="false">IF(G6="","",IFERROR(INDEX(Palette!$K$2:$K$151,MATCH(G6,Palette!$A$2:$A$151,0)),"NOT IN PALETTE"))</f>
        <v/>
      </c>
      <c r="I6" s="43"/>
      <c r="J6" s="47"/>
      <c r="K6" s="47"/>
      <c r="L6" s="47"/>
      <c r="M6" s="47"/>
      <c r="N6" s="47"/>
      <c r="O6" s="47"/>
      <c r="P6" s="47"/>
      <c r="Q6" s="37" t="str">
        <f aca="false">IF(OR(B6="",G6=""),"",IF(AND(R6&lt;&gt;"",R6=0),"closed",IF(L6="",EDATE(B6,12),IF(M6="",EDATE(B6,24),IF(N6="",EDATE(B6,36),IF(O6="",EDATE(B6,60),IF(P6="",EDATE(B6,120),"done")))))))</f>
        <v/>
      </c>
      <c r="R6" s="47"/>
      <c r="S6" s="12"/>
      <c r="T6" s="12"/>
      <c r="U6" s="43"/>
    </row>
    <row r="7" customFormat="false" ht="15" hidden="false" customHeight="true" outlineLevel="0" collapsed="false">
      <c r="A7" s="43"/>
      <c r="B7" s="81"/>
      <c r="C7" s="12"/>
      <c r="D7" s="47"/>
      <c r="E7" s="47"/>
      <c r="F7" s="12"/>
      <c r="G7" s="12"/>
      <c r="H7" s="47" t="str">
        <f aca="false">IF(G7="","",IFERROR(INDEX(Palette!$K$2:$K$151,MATCH(G7,Palette!$A$2:$A$151,0)),"NOT IN PALETTE"))</f>
        <v/>
      </c>
      <c r="I7" s="43"/>
      <c r="J7" s="47"/>
      <c r="K7" s="47"/>
      <c r="L7" s="47"/>
      <c r="M7" s="47"/>
      <c r="N7" s="47"/>
      <c r="O7" s="47"/>
      <c r="P7" s="47"/>
      <c r="Q7" s="37" t="str">
        <f aca="false">IF(OR(B7="",G7=""),"",IF(AND(R7&lt;&gt;"",R7=0),"closed",IF(L7="",EDATE(B7,12),IF(M7="",EDATE(B7,24),IF(N7="",EDATE(B7,36),IF(O7="",EDATE(B7,60),IF(P7="",EDATE(B7,120),"done")))))))</f>
        <v/>
      </c>
      <c r="R7" s="47"/>
      <c r="S7" s="12"/>
      <c r="T7" s="12"/>
      <c r="U7" s="43"/>
    </row>
    <row r="8" customFormat="false" ht="15" hidden="false" customHeight="true" outlineLevel="0" collapsed="false">
      <c r="A8" s="43"/>
      <c r="B8" s="81"/>
      <c r="C8" s="12"/>
      <c r="D8" s="47"/>
      <c r="E8" s="47"/>
      <c r="F8" s="12"/>
      <c r="G8" s="12"/>
      <c r="H8" s="47" t="str">
        <f aca="false">IF(G8="","",IFERROR(INDEX(Palette!$K$2:$K$151,MATCH(G8,Palette!$A$2:$A$151,0)),"NOT IN PALETTE"))</f>
        <v/>
      </c>
      <c r="I8" s="43"/>
      <c r="J8" s="47"/>
      <c r="K8" s="47"/>
      <c r="L8" s="47"/>
      <c r="M8" s="47"/>
      <c r="N8" s="47"/>
      <c r="O8" s="47"/>
      <c r="P8" s="47"/>
      <c r="Q8" s="37" t="str">
        <f aca="false">IF(OR(B8="",G8=""),"",IF(AND(R8&lt;&gt;"",R8=0),"closed",IF(L8="",EDATE(B8,12),IF(M8="",EDATE(B8,24),IF(N8="",EDATE(B8,36),IF(O8="",EDATE(B8,60),IF(P8="",EDATE(B8,120),"done")))))))</f>
        <v/>
      </c>
      <c r="R8" s="47"/>
      <c r="S8" s="12"/>
      <c r="T8" s="12"/>
      <c r="U8" s="43"/>
    </row>
    <row r="9" customFormat="false" ht="15" hidden="false" customHeight="true" outlineLevel="0" collapsed="false">
      <c r="A9" s="43"/>
      <c r="B9" s="81"/>
      <c r="C9" s="12"/>
      <c r="D9" s="47"/>
      <c r="E9" s="47"/>
      <c r="F9" s="12"/>
      <c r="G9" s="12"/>
      <c r="H9" s="47" t="str">
        <f aca="false">IF(G9="","",IFERROR(INDEX(Palette!$K$2:$K$151,MATCH(G9,Palette!$A$2:$A$151,0)),"NOT IN PALETTE"))</f>
        <v/>
      </c>
      <c r="I9" s="43"/>
      <c r="J9" s="47"/>
      <c r="K9" s="47"/>
      <c r="L9" s="47"/>
      <c r="M9" s="47"/>
      <c r="N9" s="47"/>
      <c r="O9" s="47"/>
      <c r="P9" s="47"/>
      <c r="Q9" s="37" t="str">
        <f aca="false">IF(OR(B9="",G9=""),"",IF(AND(R9&lt;&gt;"",R9=0),"closed",IF(L9="",EDATE(B9,12),IF(M9="",EDATE(B9,24),IF(N9="",EDATE(B9,36),IF(O9="",EDATE(B9,60),IF(P9="",EDATE(B9,120),"done")))))))</f>
        <v/>
      </c>
      <c r="R9" s="47"/>
      <c r="S9" s="12"/>
      <c r="T9" s="12"/>
      <c r="U9" s="43"/>
    </row>
    <row r="10" customFormat="false" ht="15" hidden="false" customHeight="true" outlineLevel="0" collapsed="false">
      <c r="A10" s="43"/>
      <c r="B10" s="81"/>
      <c r="C10" s="12"/>
      <c r="D10" s="47"/>
      <c r="E10" s="47"/>
      <c r="F10" s="12"/>
      <c r="G10" s="12"/>
      <c r="H10" s="47" t="str">
        <f aca="false">IF(G10="","",IFERROR(INDEX(Palette!$K$2:$K$151,MATCH(G10,Palette!$A$2:$A$151,0)),"NOT IN PALETTE"))</f>
        <v/>
      </c>
      <c r="I10" s="43"/>
      <c r="J10" s="47"/>
      <c r="K10" s="47"/>
      <c r="L10" s="47"/>
      <c r="M10" s="47"/>
      <c r="N10" s="47"/>
      <c r="O10" s="47"/>
      <c r="P10" s="47"/>
      <c r="Q10" s="37" t="str">
        <f aca="false">IF(OR(B10="",G10=""),"",IF(AND(R10&lt;&gt;"",R10=0),"closed",IF(L10="",EDATE(B10,12),IF(M10="",EDATE(B10,24),IF(N10="",EDATE(B10,36),IF(O10="",EDATE(B10,60),IF(P10="",EDATE(B10,120),"done")))))))</f>
        <v/>
      </c>
      <c r="R10" s="47"/>
      <c r="S10" s="12"/>
      <c r="T10" s="12"/>
      <c r="U10" s="43"/>
    </row>
    <row r="11" customFormat="false" ht="15" hidden="false" customHeight="true" outlineLevel="0" collapsed="false">
      <c r="A11" s="43"/>
      <c r="B11" s="81"/>
      <c r="C11" s="12"/>
      <c r="D11" s="47"/>
      <c r="E11" s="47"/>
      <c r="F11" s="12"/>
      <c r="G11" s="12"/>
      <c r="H11" s="47" t="str">
        <f aca="false">IF(G11="","",IFERROR(INDEX(Palette!$K$2:$K$151,MATCH(G11,Palette!$A$2:$A$151,0)),"NOT IN PALETTE"))</f>
        <v/>
      </c>
      <c r="I11" s="43"/>
      <c r="J11" s="47"/>
      <c r="K11" s="47"/>
      <c r="L11" s="47"/>
      <c r="M11" s="47"/>
      <c r="N11" s="47"/>
      <c r="O11" s="47"/>
      <c r="P11" s="47"/>
      <c r="Q11" s="37" t="str">
        <f aca="false">IF(OR(B11="",G11=""),"",IF(AND(R11&lt;&gt;"",R11=0),"closed",IF(L11="",EDATE(B11,12),IF(M11="",EDATE(B11,24),IF(N11="",EDATE(B11,36),IF(O11="",EDATE(B11,60),IF(P11="",EDATE(B11,120),"done")))))))</f>
        <v/>
      </c>
      <c r="R11" s="47"/>
      <c r="S11" s="12"/>
      <c r="T11" s="12"/>
      <c r="U11" s="43"/>
    </row>
    <row r="12" customFormat="false" ht="15" hidden="false" customHeight="true" outlineLevel="0" collapsed="false">
      <c r="A12" s="43"/>
      <c r="B12" s="81"/>
      <c r="C12" s="12"/>
      <c r="D12" s="47"/>
      <c r="E12" s="47"/>
      <c r="F12" s="12"/>
      <c r="G12" s="12"/>
      <c r="H12" s="47" t="str">
        <f aca="false">IF(G12="","",IFERROR(INDEX(Palette!$K$2:$K$151,MATCH(G12,Palette!$A$2:$A$151,0)),"NOT IN PALETTE"))</f>
        <v/>
      </c>
      <c r="I12" s="43"/>
      <c r="J12" s="47"/>
      <c r="K12" s="47"/>
      <c r="L12" s="47"/>
      <c r="M12" s="47"/>
      <c r="N12" s="47"/>
      <c r="O12" s="47"/>
      <c r="P12" s="47"/>
      <c r="Q12" s="37" t="str">
        <f aca="false">IF(OR(B12="",G12=""),"",IF(AND(R12&lt;&gt;"",R12=0),"closed",IF(L12="",EDATE(B12,12),IF(M12="",EDATE(B12,24),IF(N12="",EDATE(B12,36),IF(O12="",EDATE(B12,60),IF(P12="",EDATE(B12,120),"done")))))))</f>
        <v/>
      </c>
      <c r="R12" s="47"/>
      <c r="S12" s="12"/>
      <c r="T12" s="12"/>
      <c r="U12" s="43"/>
    </row>
    <row r="13" customFormat="false" ht="15" hidden="false" customHeight="true" outlineLevel="0" collapsed="false">
      <c r="A13" s="43"/>
      <c r="B13" s="81"/>
      <c r="C13" s="12"/>
      <c r="D13" s="47"/>
      <c r="E13" s="47"/>
      <c r="F13" s="12"/>
      <c r="G13" s="12"/>
      <c r="H13" s="47" t="str">
        <f aca="false">IF(G13="","",IFERROR(INDEX(Palette!$K$2:$K$151,MATCH(G13,Palette!$A$2:$A$151,0)),"NOT IN PALETTE"))</f>
        <v/>
      </c>
      <c r="I13" s="43"/>
      <c r="J13" s="47"/>
      <c r="K13" s="47"/>
      <c r="L13" s="47"/>
      <c r="M13" s="47"/>
      <c r="N13" s="47"/>
      <c r="O13" s="47"/>
      <c r="P13" s="47"/>
      <c r="Q13" s="37" t="str">
        <f aca="false">IF(OR(B13="",G13=""),"",IF(AND(R13&lt;&gt;"",R13=0),"closed",IF(L13="",EDATE(B13,12),IF(M13="",EDATE(B13,24),IF(N13="",EDATE(B13,36),IF(O13="",EDATE(B13,60),IF(P13="",EDATE(B13,120),"done")))))))</f>
        <v/>
      </c>
      <c r="R13" s="47"/>
      <c r="S13" s="12"/>
      <c r="T13" s="12"/>
      <c r="U13" s="43"/>
    </row>
    <row r="14" customFormat="false" ht="15" hidden="false" customHeight="true" outlineLevel="0" collapsed="false">
      <c r="A14" s="43"/>
      <c r="B14" s="81"/>
      <c r="C14" s="12"/>
      <c r="D14" s="47"/>
      <c r="E14" s="47"/>
      <c r="F14" s="12"/>
      <c r="G14" s="12"/>
      <c r="H14" s="47" t="str">
        <f aca="false">IF(G14="","",IFERROR(INDEX(Palette!$K$2:$K$151,MATCH(G14,Palette!$A$2:$A$151,0)),"NOT IN PALETTE"))</f>
        <v/>
      </c>
      <c r="I14" s="43"/>
      <c r="J14" s="47"/>
      <c r="K14" s="47"/>
      <c r="L14" s="47"/>
      <c r="M14" s="47"/>
      <c r="N14" s="47"/>
      <c r="O14" s="47"/>
      <c r="P14" s="47"/>
      <c r="Q14" s="37" t="str">
        <f aca="false">IF(OR(B14="",G14=""),"",IF(AND(R14&lt;&gt;"",R14=0),"closed",IF(L14="",EDATE(B14,12),IF(M14="",EDATE(B14,24),IF(N14="",EDATE(B14,36),IF(O14="",EDATE(B14,60),IF(P14="",EDATE(B14,120),"done")))))))</f>
        <v/>
      </c>
      <c r="R14" s="47"/>
      <c r="S14" s="12"/>
      <c r="T14" s="12"/>
      <c r="U14" s="43"/>
    </row>
    <row r="15" customFormat="false" ht="15" hidden="false" customHeight="true" outlineLevel="0" collapsed="false">
      <c r="A15" s="43"/>
      <c r="B15" s="81"/>
      <c r="C15" s="12"/>
      <c r="D15" s="47"/>
      <c r="E15" s="47"/>
      <c r="F15" s="12"/>
      <c r="G15" s="12"/>
      <c r="H15" s="47" t="str">
        <f aca="false">IF(G15="","",IFERROR(INDEX(Palette!$K$2:$K$151,MATCH(G15,Palette!$A$2:$A$151,0)),"NOT IN PALETTE"))</f>
        <v/>
      </c>
      <c r="I15" s="43"/>
      <c r="J15" s="47"/>
      <c r="K15" s="47"/>
      <c r="L15" s="47"/>
      <c r="M15" s="47"/>
      <c r="N15" s="47"/>
      <c r="O15" s="47"/>
      <c r="P15" s="47"/>
      <c r="Q15" s="37" t="str">
        <f aca="false">IF(OR(B15="",G15=""),"",IF(AND(R15&lt;&gt;"",R15=0),"closed",IF(L15="",EDATE(B15,12),IF(M15="",EDATE(B15,24),IF(N15="",EDATE(B15,36),IF(O15="",EDATE(B15,60),IF(P15="",EDATE(B15,120),"done")))))))</f>
        <v/>
      </c>
      <c r="R15" s="47"/>
      <c r="S15" s="12"/>
      <c r="T15" s="12"/>
      <c r="U15" s="43"/>
    </row>
    <row r="16" customFormat="false" ht="15" hidden="false" customHeight="true" outlineLevel="0" collapsed="false">
      <c r="A16" s="43"/>
      <c r="B16" s="81"/>
      <c r="C16" s="12"/>
      <c r="D16" s="47"/>
      <c r="E16" s="47"/>
      <c r="F16" s="12"/>
      <c r="G16" s="12"/>
      <c r="H16" s="47" t="str">
        <f aca="false">IF(G16="","",IFERROR(INDEX(Palette!$K$2:$K$151,MATCH(G16,Palette!$A$2:$A$151,0)),"NOT IN PALETTE"))</f>
        <v/>
      </c>
      <c r="I16" s="43"/>
      <c r="J16" s="47"/>
      <c r="K16" s="47"/>
      <c r="L16" s="47"/>
      <c r="M16" s="47"/>
      <c r="N16" s="47"/>
      <c r="O16" s="47"/>
      <c r="P16" s="47"/>
      <c r="Q16" s="37" t="str">
        <f aca="false">IF(OR(B16="",G16=""),"",IF(AND(R16&lt;&gt;"",R16=0),"closed",IF(L16="",EDATE(B16,12),IF(M16="",EDATE(B16,24),IF(N16="",EDATE(B16,36),IF(O16="",EDATE(B16,60),IF(P16="",EDATE(B16,120),"done")))))))</f>
        <v/>
      </c>
      <c r="R16" s="47"/>
      <c r="S16" s="12"/>
      <c r="T16" s="12"/>
      <c r="U16" s="43"/>
    </row>
    <row r="17" customFormat="false" ht="15" hidden="false" customHeight="true" outlineLevel="0" collapsed="false">
      <c r="A17" s="43"/>
      <c r="B17" s="81"/>
      <c r="C17" s="12"/>
      <c r="D17" s="47"/>
      <c r="E17" s="47"/>
      <c r="F17" s="12"/>
      <c r="G17" s="12"/>
      <c r="H17" s="47" t="str">
        <f aca="false">IF(G17="","",IFERROR(INDEX(Palette!$K$2:$K$151,MATCH(G17,Palette!$A$2:$A$151,0)),"NOT IN PALETTE"))</f>
        <v/>
      </c>
      <c r="I17" s="43"/>
      <c r="J17" s="47"/>
      <c r="K17" s="47"/>
      <c r="L17" s="47"/>
      <c r="M17" s="47"/>
      <c r="N17" s="47"/>
      <c r="O17" s="47"/>
      <c r="P17" s="47"/>
      <c r="Q17" s="37" t="str">
        <f aca="false">IF(OR(B17="",G17=""),"",IF(AND(R17&lt;&gt;"",R17=0),"closed",IF(L17="",EDATE(B17,12),IF(M17="",EDATE(B17,24),IF(N17="",EDATE(B17,36),IF(O17="",EDATE(B17,60),IF(P17="",EDATE(B17,120),"done")))))))</f>
        <v/>
      </c>
      <c r="R17" s="47"/>
      <c r="S17" s="12"/>
      <c r="T17" s="12"/>
      <c r="U17" s="43"/>
    </row>
    <row r="18" customFormat="false" ht="15" hidden="false" customHeight="true" outlineLevel="0" collapsed="false">
      <c r="A18" s="43"/>
      <c r="B18" s="81"/>
      <c r="C18" s="12"/>
      <c r="D18" s="47"/>
      <c r="E18" s="47"/>
      <c r="F18" s="12"/>
      <c r="G18" s="12"/>
      <c r="H18" s="47" t="str">
        <f aca="false">IF(G18="","",IFERROR(INDEX(Palette!$K$2:$K$151,MATCH(G18,Palette!$A$2:$A$151,0)),"NOT IN PALETTE"))</f>
        <v/>
      </c>
      <c r="I18" s="43"/>
      <c r="J18" s="47"/>
      <c r="K18" s="47"/>
      <c r="L18" s="47"/>
      <c r="M18" s="47"/>
      <c r="N18" s="47"/>
      <c r="O18" s="47"/>
      <c r="P18" s="47"/>
      <c r="Q18" s="37" t="str">
        <f aca="false">IF(OR(B18="",G18=""),"",IF(AND(R18&lt;&gt;"",R18=0),"closed",IF(L18="",EDATE(B18,12),IF(M18="",EDATE(B18,24),IF(N18="",EDATE(B18,36),IF(O18="",EDATE(B18,60),IF(P18="",EDATE(B18,120),"done")))))))</f>
        <v/>
      </c>
      <c r="R18" s="47"/>
      <c r="S18" s="12"/>
      <c r="T18" s="12"/>
      <c r="U18" s="43"/>
    </row>
    <row r="19" customFormat="false" ht="15" hidden="false" customHeight="true" outlineLevel="0" collapsed="false">
      <c r="A19" s="43"/>
      <c r="B19" s="81"/>
      <c r="C19" s="12"/>
      <c r="D19" s="47"/>
      <c r="E19" s="47"/>
      <c r="F19" s="12"/>
      <c r="G19" s="12"/>
      <c r="H19" s="47" t="str">
        <f aca="false">IF(G19="","",IFERROR(INDEX(Palette!$K$2:$K$151,MATCH(G19,Palette!$A$2:$A$151,0)),"NOT IN PALETTE"))</f>
        <v/>
      </c>
      <c r="I19" s="43"/>
      <c r="J19" s="47"/>
      <c r="K19" s="47"/>
      <c r="L19" s="47"/>
      <c r="M19" s="47"/>
      <c r="N19" s="47"/>
      <c r="O19" s="47"/>
      <c r="P19" s="47"/>
      <c r="Q19" s="37" t="str">
        <f aca="false">IF(OR(B19="",G19=""),"",IF(AND(R19&lt;&gt;"",R19=0),"closed",IF(L19="",EDATE(B19,12),IF(M19="",EDATE(B19,24),IF(N19="",EDATE(B19,36),IF(O19="",EDATE(B19,60),IF(P19="",EDATE(B19,120),"done")))))))</f>
        <v/>
      </c>
      <c r="R19" s="47"/>
      <c r="S19" s="12"/>
      <c r="T19" s="12"/>
      <c r="U19" s="43"/>
    </row>
    <row r="20" customFormat="false" ht="15" hidden="false" customHeight="true" outlineLevel="0" collapsed="false">
      <c r="A20" s="43"/>
      <c r="B20" s="81"/>
      <c r="C20" s="12"/>
      <c r="D20" s="47"/>
      <c r="E20" s="47"/>
      <c r="F20" s="12"/>
      <c r="G20" s="12"/>
      <c r="H20" s="47" t="str">
        <f aca="false">IF(G20="","",IFERROR(INDEX(Palette!$K$2:$K$151,MATCH(G20,Palette!$A$2:$A$151,0)),"NOT IN PALETTE"))</f>
        <v/>
      </c>
      <c r="I20" s="43"/>
      <c r="J20" s="47"/>
      <c r="K20" s="47"/>
      <c r="L20" s="47"/>
      <c r="M20" s="47"/>
      <c r="N20" s="47"/>
      <c r="O20" s="47"/>
      <c r="P20" s="47"/>
      <c r="Q20" s="37" t="str">
        <f aca="false">IF(OR(B20="",G20=""),"",IF(AND(R20&lt;&gt;"",R20=0),"closed",IF(L20="",EDATE(B20,12),IF(M20="",EDATE(B20,24),IF(N20="",EDATE(B20,36),IF(O20="",EDATE(B20,60),IF(P20="",EDATE(B20,120),"done")))))))</f>
        <v/>
      </c>
      <c r="R20" s="47"/>
      <c r="S20" s="12"/>
      <c r="T20" s="12"/>
      <c r="U20" s="43"/>
    </row>
    <row r="21" customFormat="false" ht="15" hidden="false" customHeight="true" outlineLevel="0" collapsed="false">
      <c r="A21" s="43"/>
      <c r="B21" s="81"/>
      <c r="C21" s="12"/>
      <c r="D21" s="47"/>
      <c r="E21" s="47"/>
      <c r="F21" s="12"/>
      <c r="G21" s="12"/>
      <c r="H21" s="47" t="str">
        <f aca="false">IF(G21="","",IFERROR(INDEX(Palette!$K$2:$K$151,MATCH(G21,Palette!$A$2:$A$151,0)),"NOT IN PALETTE"))</f>
        <v/>
      </c>
      <c r="I21" s="43"/>
      <c r="J21" s="47"/>
      <c r="K21" s="47"/>
      <c r="L21" s="47"/>
      <c r="M21" s="47"/>
      <c r="N21" s="47"/>
      <c r="O21" s="47"/>
      <c r="P21" s="47"/>
      <c r="Q21" s="37" t="str">
        <f aca="false">IF(OR(B21="",G21=""),"",IF(AND(R21&lt;&gt;"",R21=0),"closed",IF(L21="",EDATE(B21,12),IF(M21="",EDATE(B21,24),IF(N21="",EDATE(B21,36),IF(O21="",EDATE(B21,60),IF(P21="",EDATE(B21,120),"done")))))))</f>
        <v/>
      </c>
      <c r="R21" s="47"/>
      <c r="S21" s="12"/>
      <c r="T21" s="12"/>
      <c r="U21" s="43"/>
    </row>
    <row r="22" customFormat="false" ht="15" hidden="false" customHeight="true" outlineLevel="0" collapsed="false">
      <c r="A22" s="43"/>
      <c r="B22" s="81"/>
      <c r="C22" s="12"/>
      <c r="D22" s="47"/>
      <c r="E22" s="47"/>
      <c r="F22" s="12"/>
      <c r="G22" s="12"/>
      <c r="H22" s="47" t="str">
        <f aca="false">IF(G22="","",IFERROR(INDEX(Palette!$K$2:$K$151,MATCH(G22,Palette!$A$2:$A$151,0)),"NOT IN PALETTE"))</f>
        <v/>
      </c>
      <c r="I22" s="43"/>
      <c r="J22" s="47"/>
      <c r="K22" s="47"/>
      <c r="L22" s="47"/>
      <c r="M22" s="47"/>
      <c r="N22" s="47"/>
      <c r="O22" s="47"/>
      <c r="P22" s="47"/>
      <c r="Q22" s="37" t="str">
        <f aca="false">IF(OR(B22="",G22=""),"",IF(AND(R22&lt;&gt;"",R22=0),"closed",IF(L22="",EDATE(B22,12),IF(M22="",EDATE(B22,24),IF(N22="",EDATE(B22,36),IF(O22="",EDATE(B22,60),IF(P22="",EDATE(B22,120),"done")))))))</f>
        <v/>
      </c>
      <c r="R22" s="47"/>
      <c r="S22" s="12"/>
      <c r="T22" s="12"/>
      <c r="U22" s="43"/>
    </row>
    <row r="23" customFormat="false" ht="15" hidden="false" customHeight="true" outlineLevel="0" collapsed="false">
      <c r="A23" s="43"/>
      <c r="B23" s="81"/>
      <c r="C23" s="12"/>
      <c r="D23" s="47"/>
      <c r="E23" s="47"/>
      <c r="F23" s="12"/>
      <c r="G23" s="12"/>
      <c r="H23" s="47" t="str">
        <f aca="false">IF(G23="","",IFERROR(INDEX(Palette!$K$2:$K$151,MATCH(G23,Palette!$A$2:$A$151,0)),"NOT IN PALETTE"))</f>
        <v/>
      </c>
      <c r="I23" s="43"/>
      <c r="J23" s="47"/>
      <c r="K23" s="47"/>
      <c r="L23" s="47"/>
      <c r="M23" s="47"/>
      <c r="N23" s="47"/>
      <c r="O23" s="47"/>
      <c r="P23" s="47"/>
      <c r="Q23" s="37" t="str">
        <f aca="false">IF(OR(B23="",G23=""),"",IF(AND(R23&lt;&gt;"",R23=0),"closed",IF(L23="",EDATE(B23,12),IF(M23="",EDATE(B23,24),IF(N23="",EDATE(B23,36),IF(O23="",EDATE(B23,60),IF(P23="",EDATE(B23,120),"done")))))))</f>
        <v/>
      </c>
      <c r="R23" s="47"/>
      <c r="S23" s="12"/>
      <c r="T23" s="12"/>
      <c r="U23" s="43"/>
    </row>
    <row r="24" customFormat="false" ht="15" hidden="false" customHeight="true" outlineLevel="0" collapsed="false">
      <c r="A24" s="43"/>
      <c r="B24" s="81"/>
      <c r="C24" s="12"/>
      <c r="D24" s="47"/>
      <c r="E24" s="47"/>
      <c r="F24" s="12"/>
      <c r="G24" s="12"/>
      <c r="H24" s="47" t="str">
        <f aca="false">IF(G24="","",IFERROR(INDEX(Palette!$K$2:$K$151,MATCH(G24,Palette!$A$2:$A$151,0)),"NOT IN PALETTE"))</f>
        <v/>
      </c>
      <c r="I24" s="43"/>
      <c r="J24" s="47"/>
      <c r="K24" s="47"/>
      <c r="L24" s="47"/>
      <c r="M24" s="47"/>
      <c r="N24" s="47"/>
      <c r="O24" s="47"/>
      <c r="P24" s="47"/>
      <c r="Q24" s="37" t="str">
        <f aca="false">IF(OR(B24="",G24=""),"",IF(AND(R24&lt;&gt;"",R24=0),"closed",IF(L24="",EDATE(B24,12),IF(M24="",EDATE(B24,24),IF(N24="",EDATE(B24,36),IF(O24="",EDATE(B24,60),IF(P24="",EDATE(B24,120),"done")))))))</f>
        <v/>
      </c>
      <c r="R24" s="47"/>
      <c r="S24" s="12"/>
      <c r="T24" s="12"/>
      <c r="U24" s="43"/>
    </row>
    <row r="25" customFormat="false" ht="15" hidden="false" customHeight="true" outlineLevel="0" collapsed="false">
      <c r="A25" s="43"/>
      <c r="B25" s="81"/>
      <c r="C25" s="12"/>
      <c r="D25" s="47"/>
      <c r="E25" s="47"/>
      <c r="F25" s="12"/>
      <c r="G25" s="12"/>
      <c r="H25" s="47" t="str">
        <f aca="false">IF(G25="","",IFERROR(INDEX(Palette!$K$2:$K$151,MATCH(G25,Palette!$A$2:$A$151,0)),"NOT IN PALETTE"))</f>
        <v/>
      </c>
      <c r="I25" s="43"/>
      <c r="J25" s="47"/>
      <c r="K25" s="47"/>
      <c r="L25" s="47"/>
      <c r="M25" s="47"/>
      <c r="N25" s="47"/>
      <c r="O25" s="47"/>
      <c r="P25" s="47"/>
      <c r="Q25" s="37" t="str">
        <f aca="false">IF(OR(B25="",G25=""),"",IF(AND(R25&lt;&gt;"",R25=0),"closed",IF(L25="",EDATE(B25,12),IF(M25="",EDATE(B25,24),IF(N25="",EDATE(B25,36),IF(O25="",EDATE(B25,60),IF(P25="",EDATE(B25,120),"done")))))))</f>
        <v/>
      </c>
      <c r="R25" s="47"/>
      <c r="S25" s="12"/>
      <c r="T25" s="12"/>
      <c r="U25" s="43"/>
    </row>
    <row r="26" customFormat="false" ht="15" hidden="false" customHeight="true" outlineLevel="0" collapsed="false">
      <c r="A26" s="43"/>
      <c r="B26" s="81"/>
      <c r="C26" s="12"/>
      <c r="D26" s="47"/>
      <c r="E26" s="47"/>
      <c r="F26" s="12"/>
      <c r="G26" s="12"/>
      <c r="H26" s="47" t="str">
        <f aca="false">IF(G26="","",IFERROR(INDEX(Palette!$K$2:$K$151,MATCH(G26,Palette!$A$2:$A$151,0)),"NOT IN PALETTE"))</f>
        <v/>
      </c>
      <c r="I26" s="43"/>
      <c r="J26" s="47"/>
      <c r="K26" s="47"/>
      <c r="L26" s="47"/>
      <c r="M26" s="47"/>
      <c r="N26" s="47"/>
      <c r="O26" s="47"/>
      <c r="P26" s="47"/>
      <c r="Q26" s="37" t="str">
        <f aca="false">IF(OR(B26="",G26=""),"",IF(AND(R26&lt;&gt;"",R26=0),"closed",IF(L26="",EDATE(B26,12),IF(M26="",EDATE(B26,24),IF(N26="",EDATE(B26,36),IF(O26="",EDATE(B26,60),IF(P26="",EDATE(B26,120),"done")))))))</f>
        <v/>
      </c>
      <c r="R26" s="47"/>
      <c r="S26" s="12"/>
      <c r="T26" s="12"/>
      <c r="U26" s="43"/>
    </row>
    <row r="27" customFormat="false" ht="15" hidden="false" customHeight="true" outlineLevel="0" collapsed="false">
      <c r="A27" s="43"/>
      <c r="B27" s="81"/>
      <c r="C27" s="12"/>
      <c r="D27" s="47"/>
      <c r="E27" s="47"/>
      <c r="F27" s="12"/>
      <c r="G27" s="12"/>
      <c r="H27" s="47" t="str">
        <f aca="false">IF(G27="","",IFERROR(INDEX(Palette!$K$2:$K$151,MATCH(G27,Palette!$A$2:$A$151,0)),"NOT IN PALETTE"))</f>
        <v/>
      </c>
      <c r="I27" s="43"/>
      <c r="J27" s="47"/>
      <c r="K27" s="47"/>
      <c r="L27" s="47"/>
      <c r="M27" s="47"/>
      <c r="N27" s="47"/>
      <c r="O27" s="47"/>
      <c r="P27" s="47"/>
      <c r="Q27" s="37" t="str">
        <f aca="false">IF(OR(B27="",G27=""),"",IF(AND(R27&lt;&gt;"",R27=0),"closed",IF(L27="",EDATE(B27,12),IF(M27="",EDATE(B27,24),IF(N27="",EDATE(B27,36),IF(O27="",EDATE(B27,60),IF(P27="",EDATE(B27,120),"done")))))))</f>
        <v/>
      </c>
      <c r="R27" s="47"/>
      <c r="S27" s="12"/>
      <c r="T27" s="12"/>
      <c r="U27" s="43"/>
    </row>
    <row r="28" customFormat="false" ht="15" hidden="false" customHeight="true" outlineLevel="0" collapsed="false">
      <c r="A28" s="43"/>
      <c r="B28" s="81"/>
      <c r="C28" s="12"/>
      <c r="D28" s="47"/>
      <c r="E28" s="47"/>
      <c r="F28" s="12"/>
      <c r="G28" s="12"/>
      <c r="H28" s="47" t="str">
        <f aca="false">IF(G28="","",IFERROR(INDEX(Palette!$K$2:$K$151,MATCH(G28,Palette!$A$2:$A$151,0)),"NOT IN PALETTE"))</f>
        <v/>
      </c>
      <c r="I28" s="43"/>
      <c r="J28" s="47"/>
      <c r="K28" s="47"/>
      <c r="L28" s="47"/>
      <c r="M28" s="47"/>
      <c r="N28" s="47"/>
      <c r="O28" s="47"/>
      <c r="P28" s="47"/>
      <c r="Q28" s="37" t="str">
        <f aca="false">IF(OR(B28="",G28=""),"",IF(AND(R28&lt;&gt;"",R28=0),"closed",IF(L28="",EDATE(B28,12),IF(M28="",EDATE(B28,24),IF(N28="",EDATE(B28,36),IF(O28="",EDATE(B28,60),IF(P28="",EDATE(B28,120),"done")))))))</f>
        <v/>
      </c>
      <c r="R28" s="47"/>
      <c r="S28" s="12"/>
      <c r="T28" s="12"/>
      <c r="U28" s="43"/>
    </row>
    <row r="29" customFormat="false" ht="15" hidden="false" customHeight="true" outlineLevel="0" collapsed="false">
      <c r="A29" s="43"/>
      <c r="B29" s="81"/>
      <c r="C29" s="12"/>
      <c r="D29" s="47"/>
      <c r="E29" s="47"/>
      <c r="F29" s="12"/>
      <c r="G29" s="12"/>
      <c r="H29" s="47" t="str">
        <f aca="false">IF(G29="","",IFERROR(INDEX(Palette!$K$2:$K$151,MATCH(G29,Palette!$A$2:$A$151,0)),"NOT IN PALETTE"))</f>
        <v/>
      </c>
      <c r="I29" s="43"/>
      <c r="J29" s="47"/>
      <c r="K29" s="47"/>
      <c r="L29" s="47"/>
      <c r="M29" s="47"/>
      <c r="N29" s="47"/>
      <c r="O29" s="47"/>
      <c r="P29" s="47"/>
      <c r="Q29" s="37" t="str">
        <f aca="false">IF(OR(B29="",G29=""),"",IF(AND(R29&lt;&gt;"",R29=0),"closed",IF(L29="",EDATE(B29,12),IF(M29="",EDATE(B29,24),IF(N29="",EDATE(B29,36),IF(O29="",EDATE(B29,60),IF(P29="",EDATE(B29,120),"done")))))))</f>
        <v/>
      </c>
      <c r="R29" s="47"/>
      <c r="S29" s="12"/>
      <c r="T29" s="12"/>
      <c r="U29" s="43"/>
    </row>
    <row r="30" customFormat="false" ht="15" hidden="false" customHeight="true" outlineLevel="0" collapsed="false">
      <c r="A30" s="43"/>
      <c r="B30" s="81"/>
      <c r="C30" s="12"/>
      <c r="D30" s="47"/>
      <c r="E30" s="47"/>
      <c r="F30" s="12"/>
      <c r="G30" s="12"/>
      <c r="H30" s="47" t="str">
        <f aca="false">IF(G30="","",IFERROR(INDEX(Palette!$K$2:$K$151,MATCH(G30,Palette!$A$2:$A$151,0)),"NOT IN PALETTE"))</f>
        <v/>
      </c>
      <c r="I30" s="43"/>
      <c r="J30" s="47"/>
      <c r="K30" s="47"/>
      <c r="L30" s="47"/>
      <c r="M30" s="47"/>
      <c r="N30" s="47"/>
      <c r="O30" s="47"/>
      <c r="P30" s="47"/>
      <c r="Q30" s="37" t="str">
        <f aca="false">IF(OR(B30="",G30=""),"",IF(AND(R30&lt;&gt;"",R30=0),"closed",IF(L30="",EDATE(B30,12),IF(M30="",EDATE(B30,24),IF(N30="",EDATE(B30,36),IF(O30="",EDATE(B30,60),IF(P30="",EDATE(B30,120),"done")))))))</f>
        <v/>
      </c>
      <c r="R30" s="47"/>
      <c r="S30" s="12"/>
      <c r="T30" s="12"/>
      <c r="U30" s="43"/>
    </row>
    <row r="31" customFormat="false" ht="15" hidden="false" customHeight="true" outlineLevel="0" collapsed="false">
      <c r="A31" s="43"/>
      <c r="B31" s="81"/>
      <c r="C31" s="12"/>
      <c r="D31" s="47"/>
      <c r="E31" s="47"/>
      <c r="F31" s="12"/>
      <c r="G31" s="12"/>
      <c r="H31" s="47" t="str">
        <f aca="false">IF(G31="","",IFERROR(INDEX(Palette!$K$2:$K$151,MATCH(G31,Palette!$A$2:$A$151,0)),"NOT IN PALETTE"))</f>
        <v/>
      </c>
      <c r="I31" s="43"/>
      <c r="J31" s="47"/>
      <c r="K31" s="47"/>
      <c r="L31" s="47"/>
      <c r="M31" s="47"/>
      <c r="N31" s="47"/>
      <c r="O31" s="47"/>
      <c r="P31" s="47"/>
      <c r="Q31" s="37" t="str">
        <f aca="false">IF(OR(B31="",G31=""),"",IF(AND(R31&lt;&gt;"",R31=0),"closed",IF(L31="",EDATE(B31,12),IF(M31="",EDATE(B31,24),IF(N31="",EDATE(B31,36),IF(O31="",EDATE(B31,60),IF(P31="",EDATE(B31,120),"done")))))))</f>
        <v/>
      </c>
      <c r="R31" s="47"/>
      <c r="S31" s="12"/>
      <c r="T31" s="12"/>
      <c r="U31" s="43"/>
    </row>
    <row r="32" customFormat="false" ht="15" hidden="false" customHeight="true" outlineLevel="0" collapsed="false">
      <c r="A32" s="43"/>
      <c r="B32" s="81"/>
      <c r="C32" s="12"/>
      <c r="D32" s="47"/>
      <c r="E32" s="47"/>
      <c r="F32" s="12"/>
      <c r="G32" s="12"/>
      <c r="H32" s="47" t="str">
        <f aca="false">IF(G32="","",IFERROR(INDEX(Palette!$K$2:$K$151,MATCH(G32,Palette!$A$2:$A$151,0)),"NOT IN PALETTE"))</f>
        <v/>
      </c>
      <c r="I32" s="43"/>
      <c r="J32" s="47"/>
      <c r="K32" s="47"/>
      <c r="L32" s="47"/>
      <c r="M32" s="47"/>
      <c r="N32" s="47"/>
      <c r="O32" s="47"/>
      <c r="P32" s="47"/>
      <c r="Q32" s="37" t="str">
        <f aca="false">IF(OR(B32="",G32=""),"",IF(AND(R32&lt;&gt;"",R32=0),"closed",IF(L32="",EDATE(B32,12),IF(M32="",EDATE(B32,24),IF(N32="",EDATE(B32,36),IF(O32="",EDATE(B32,60),IF(P32="",EDATE(B32,120),"done")))))))</f>
        <v/>
      </c>
      <c r="R32" s="47"/>
      <c r="S32" s="12"/>
      <c r="T32" s="12"/>
      <c r="U32" s="43"/>
    </row>
    <row r="33" customFormat="false" ht="15" hidden="false" customHeight="true" outlineLevel="0" collapsed="false">
      <c r="A33" s="43"/>
      <c r="B33" s="81"/>
      <c r="C33" s="12"/>
      <c r="D33" s="47"/>
      <c r="E33" s="47"/>
      <c r="F33" s="12"/>
      <c r="G33" s="12"/>
      <c r="H33" s="47" t="str">
        <f aca="false">IF(G33="","",IFERROR(INDEX(Palette!$K$2:$K$151,MATCH(G33,Palette!$A$2:$A$151,0)),"NOT IN PALETTE"))</f>
        <v/>
      </c>
      <c r="I33" s="43"/>
      <c r="J33" s="47"/>
      <c r="K33" s="47"/>
      <c r="L33" s="47"/>
      <c r="M33" s="47"/>
      <c r="N33" s="47"/>
      <c r="O33" s="47"/>
      <c r="P33" s="47"/>
      <c r="Q33" s="37" t="str">
        <f aca="false">IF(OR(B33="",G33=""),"",IF(AND(R33&lt;&gt;"",R33=0),"closed",IF(L33="",EDATE(B33,12),IF(M33="",EDATE(B33,24),IF(N33="",EDATE(B33,36),IF(O33="",EDATE(B33,60),IF(P33="",EDATE(B33,120),"done")))))))</f>
        <v/>
      </c>
      <c r="R33" s="47"/>
      <c r="S33" s="12"/>
      <c r="T33" s="12"/>
      <c r="U33" s="43"/>
    </row>
    <row r="34" customFormat="false" ht="15" hidden="false" customHeight="true" outlineLevel="0" collapsed="false">
      <c r="A34" s="43"/>
      <c r="B34" s="81"/>
      <c r="C34" s="12"/>
      <c r="D34" s="47"/>
      <c r="E34" s="47"/>
      <c r="F34" s="12"/>
      <c r="G34" s="12"/>
      <c r="H34" s="47" t="str">
        <f aca="false">IF(G34="","",IFERROR(INDEX(Palette!$K$2:$K$151,MATCH(G34,Palette!$A$2:$A$151,0)),"NOT IN PALETTE"))</f>
        <v/>
      </c>
      <c r="I34" s="43"/>
      <c r="J34" s="47"/>
      <c r="K34" s="47"/>
      <c r="L34" s="47"/>
      <c r="M34" s="47"/>
      <c r="N34" s="47"/>
      <c r="O34" s="47"/>
      <c r="P34" s="47"/>
      <c r="Q34" s="37" t="str">
        <f aca="false">IF(OR(B34="",G34=""),"",IF(AND(R34&lt;&gt;"",R34=0),"closed",IF(L34="",EDATE(B34,12),IF(M34="",EDATE(B34,24),IF(N34="",EDATE(B34,36),IF(O34="",EDATE(B34,60),IF(P34="",EDATE(B34,120),"done")))))))</f>
        <v/>
      </c>
      <c r="R34" s="47"/>
      <c r="S34" s="12"/>
      <c r="T34" s="12"/>
      <c r="U34" s="43"/>
    </row>
    <row r="35" customFormat="false" ht="15" hidden="false" customHeight="true" outlineLevel="0" collapsed="false">
      <c r="A35" s="43"/>
      <c r="B35" s="81"/>
      <c r="C35" s="12"/>
      <c r="D35" s="47"/>
      <c r="E35" s="47"/>
      <c r="F35" s="12"/>
      <c r="G35" s="12"/>
      <c r="H35" s="47" t="str">
        <f aca="false">IF(G35="","",IFERROR(INDEX(Palette!$K$2:$K$151,MATCH(G35,Palette!$A$2:$A$151,0)),"NOT IN PALETTE"))</f>
        <v/>
      </c>
      <c r="I35" s="43"/>
      <c r="J35" s="47"/>
      <c r="K35" s="47"/>
      <c r="L35" s="47"/>
      <c r="M35" s="47"/>
      <c r="N35" s="47"/>
      <c r="O35" s="47"/>
      <c r="P35" s="47"/>
      <c r="Q35" s="37" t="str">
        <f aca="false">IF(OR(B35="",G35=""),"",IF(AND(R35&lt;&gt;"",R35=0),"closed",IF(L35="",EDATE(B35,12),IF(M35="",EDATE(B35,24),IF(N35="",EDATE(B35,36),IF(O35="",EDATE(B35,60),IF(P35="",EDATE(B35,120),"done")))))))</f>
        <v/>
      </c>
      <c r="R35" s="47"/>
      <c r="S35" s="12"/>
      <c r="T35" s="12"/>
      <c r="U35" s="43"/>
    </row>
    <row r="36" customFormat="false" ht="15" hidden="false" customHeight="true" outlineLevel="0" collapsed="false">
      <c r="A36" s="43"/>
      <c r="B36" s="81"/>
      <c r="C36" s="12"/>
      <c r="D36" s="47"/>
      <c r="E36" s="47"/>
      <c r="F36" s="12"/>
      <c r="G36" s="12"/>
      <c r="H36" s="47" t="str">
        <f aca="false">IF(G36="","",IFERROR(INDEX(Palette!$K$2:$K$151,MATCH(G36,Palette!$A$2:$A$151,0)),"NOT IN PALETTE"))</f>
        <v/>
      </c>
      <c r="I36" s="43"/>
      <c r="J36" s="47"/>
      <c r="K36" s="47"/>
      <c r="L36" s="47"/>
      <c r="M36" s="47"/>
      <c r="N36" s="47"/>
      <c r="O36" s="47"/>
      <c r="P36" s="47"/>
      <c r="Q36" s="37" t="str">
        <f aca="false">IF(OR(B36="",G36=""),"",IF(AND(R36&lt;&gt;"",R36=0),"closed",IF(L36="",EDATE(B36,12),IF(M36="",EDATE(B36,24),IF(N36="",EDATE(B36,36),IF(O36="",EDATE(B36,60),IF(P36="",EDATE(B36,120),"done")))))))</f>
        <v/>
      </c>
      <c r="R36" s="47"/>
      <c r="S36" s="12"/>
      <c r="T36" s="12"/>
      <c r="U36" s="43"/>
    </row>
    <row r="37" customFormat="false" ht="15" hidden="false" customHeight="true" outlineLevel="0" collapsed="false">
      <c r="A37" s="43"/>
      <c r="B37" s="81"/>
      <c r="C37" s="12"/>
      <c r="D37" s="47"/>
      <c r="E37" s="47"/>
      <c r="F37" s="12"/>
      <c r="G37" s="12"/>
      <c r="H37" s="47" t="str">
        <f aca="false">IF(G37="","",IFERROR(INDEX(Palette!$K$2:$K$151,MATCH(G37,Palette!$A$2:$A$151,0)),"NOT IN PALETTE"))</f>
        <v/>
      </c>
      <c r="I37" s="43"/>
      <c r="J37" s="47"/>
      <c r="K37" s="47"/>
      <c r="L37" s="47"/>
      <c r="M37" s="47"/>
      <c r="N37" s="47"/>
      <c r="O37" s="47"/>
      <c r="P37" s="47"/>
      <c r="Q37" s="37" t="str">
        <f aca="false">IF(OR(B37="",G37=""),"",IF(AND(R37&lt;&gt;"",R37=0),"closed",IF(L37="",EDATE(B37,12),IF(M37="",EDATE(B37,24),IF(N37="",EDATE(B37,36),IF(O37="",EDATE(B37,60),IF(P37="",EDATE(B37,120),"done")))))))</f>
        <v/>
      </c>
      <c r="R37" s="47"/>
      <c r="S37" s="12"/>
      <c r="T37" s="12"/>
      <c r="U37" s="43"/>
    </row>
    <row r="38" customFormat="false" ht="15" hidden="false" customHeight="true" outlineLevel="0" collapsed="false">
      <c r="A38" s="43"/>
      <c r="B38" s="81"/>
      <c r="C38" s="12"/>
      <c r="D38" s="47"/>
      <c r="E38" s="47"/>
      <c r="F38" s="12"/>
      <c r="G38" s="12"/>
      <c r="H38" s="47" t="str">
        <f aca="false">IF(G38="","",IFERROR(INDEX(Palette!$K$2:$K$151,MATCH(G38,Palette!$A$2:$A$151,0)),"NOT IN PALETTE"))</f>
        <v/>
      </c>
      <c r="I38" s="43"/>
      <c r="J38" s="47"/>
      <c r="K38" s="47"/>
      <c r="L38" s="47"/>
      <c r="M38" s="47"/>
      <c r="N38" s="47"/>
      <c r="O38" s="47"/>
      <c r="P38" s="47"/>
      <c r="Q38" s="37" t="str">
        <f aca="false">IF(OR(B38="",G38=""),"",IF(AND(R38&lt;&gt;"",R38=0),"closed",IF(L38="",EDATE(B38,12),IF(M38="",EDATE(B38,24),IF(N38="",EDATE(B38,36),IF(O38="",EDATE(B38,60),IF(P38="",EDATE(B38,120),"done")))))))</f>
        <v/>
      </c>
      <c r="R38" s="47"/>
      <c r="S38" s="12"/>
      <c r="T38" s="12"/>
      <c r="U38" s="43"/>
    </row>
    <row r="39" customFormat="false" ht="15" hidden="false" customHeight="true" outlineLevel="0" collapsed="false">
      <c r="A39" s="43"/>
      <c r="B39" s="81"/>
      <c r="C39" s="12"/>
      <c r="D39" s="47"/>
      <c r="E39" s="47"/>
      <c r="F39" s="12"/>
      <c r="G39" s="12"/>
      <c r="H39" s="47" t="str">
        <f aca="false">IF(G39="","",IFERROR(INDEX(Palette!$K$2:$K$151,MATCH(G39,Palette!$A$2:$A$151,0)),"NOT IN PALETTE"))</f>
        <v/>
      </c>
      <c r="I39" s="43"/>
      <c r="J39" s="47"/>
      <c r="K39" s="47"/>
      <c r="L39" s="47"/>
      <c r="M39" s="47"/>
      <c r="N39" s="47"/>
      <c r="O39" s="47"/>
      <c r="P39" s="47"/>
      <c r="Q39" s="37" t="str">
        <f aca="false">IF(OR(B39="",G39=""),"",IF(AND(R39&lt;&gt;"",R39=0),"closed",IF(L39="",EDATE(B39,12),IF(M39="",EDATE(B39,24),IF(N39="",EDATE(B39,36),IF(O39="",EDATE(B39,60),IF(P39="",EDATE(B39,120),"done")))))))</f>
        <v/>
      </c>
      <c r="R39" s="47"/>
      <c r="S39" s="12"/>
      <c r="T39" s="12"/>
      <c r="U39" s="43"/>
    </row>
    <row r="40" customFormat="false" ht="15" hidden="false" customHeight="true" outlineLevel="0" collapsed="false">
      <c r="A40" s="43"/>
      <c r="B40" s="81"/>
      <c r="C40" s="12"/>
      <c r="D40" s="47"/>
      <c r="E40" s="47"/>
      <c r="F40" s="12"/>
      <c r="G40" s="12"/>
      <c r="H40" s="47" t="str">
        <f aca="false">IF(G40="","",IFERROR(INDEX(Palette!$K$2:$K$151,MATCH(G40,Palette!$A$2:$A$151,0)),"NOT IN PALETTE"))</f>
        <v/>
      </c>
      <c r="I40" s="43"/>
      <c r="J40" s="47"/>
      <c r="K40" s="47"/>
      <c r="L40" s="47"/>
      <c r="M40" s="47"/>
      <c r="N40" s="47"/>
      <c r="O40" s="47"/>
      <c r="P40" s="47"/>
      <c r="Q40" s="37" t="str">
        <f aca="false">IF(OR(B40="",G40=""),"",IF(AND(R40&lt;&gt;"",R40=0),"closed",IF(L40="",EDATE(B40,12),IF(M40="",EDATE(B40,24),IF(N40="",EDATE(B40,36),IF(O40="",EDATE(B40,60),IF(P40="",EDATE(B40,120),"done")))))))</f>
        <v/>
      </c>
      <c r="R40" s="47"/>
      <c r="S40" s="12"/>
      <c r="T40" s="12"/>
      <c r="U40" s="43"/>
    </row>
    <row r="41" customFormat="false" ht="15" hidden="false" customHeight="true" outlineLevel="0" collapsed="false">
      <c r="A41" s="43"/>
      <c r="B41" s="81"/>
      <c r="C41" s="12"/>
      <c r="D41" s="47"/>
      <c r="E41" s="47"/>
      <c r="F41" s="12"/>
      <c r="G41" s="12"/>
      <c r="H41" s="47" t="str">
        <f aca="false">IF(G41="","",IFERROR(INDEX(Palette!$K$2:$K$151,MATCH(G41,Palette!$A$2:$A$151,0)),"NOT IN PALETTE"))</f>
        <v/>
      </c>
      <c r="I41" s="43"/>
      <c r="J41" s="47"/>
      <c r="K41" s="47"/>
      <c r="L41" s="47"/>
      <c r="M41" s="47"/>
      <c r="N41" s="47"/>
      <c r="O41" s="47"/>
      <c r="P41" s="47"/>
      <c r="Q41" s="37" t="str">
        <f aca="false">IF(OR(B41="",G41=""),"",IF(AND(R41&lt;&gt;"",R41=0),"closed",IF(L41="",EDATE(B41,12),IF(M41="",EDATE(B41,24),IF(N41="",EDATE(B41,36),IF(O41="",EDATE(B41,60),IF(P41="",EDATE(B41,120),"done")))))))</f>
        <v/>
      </c>
      <c r="R41" s="47"/>
      <c r="S41" s="12"/>
      <c r="T41" s="12"/>
      <c r="U41" s="43"/>
    </row>
    <row r="42" customFormat="false" ht="15" hidden="false" customHeight="true" outlineLevel="0" collapsed="false">
      <c r="A42" s="43"/>
      <c r="B42" s="81"/>
      <c r="C42" s="12"/>
      <c r="D42" s="47"/>
      <c r="E42" s="47"/>
      <c r="F42" s="12"/>
      <c r="G42" s="12"/>
      <c r="H42" s="47" t="str">
        <f aca="false">IF(G42="","",IFERROR(INDEX(Palette!$K$2:$K$151,MATCH(G42,Palette!$A$2:$A$151,0)),"NOT IN PALETTE"))</f>
        <v/>
      </c>
      <c r="I42" s="43"/>
      <c r="J42" s="47"/>
      <c r="K42" s="47"/>
      <c r="L42" s="47"/>
      <c r="M42" s="47"/>
      <c r="N42" s="47"/>
      <c r="O42" s="47"/>
      <c r="P42" s="47"/>
      <c r="Q42" s="37" t="str">
        <f aca="false">IF(OR(B42="",G42=""),"",IF(AND(R42&lt;&gt;"",R42=0),"closed",IF(L42="",EDATE(B42,12),IF(M42="",EDATE(B42,24),IF(N42="",EDATE(B42,36),IF(O42="",EDATE(B42,60),IF(P42="",EDATE(B42,120),"done")))))))</f>
        <v/>
      </c>
      <c r="R42" s="47"/>
      <c r="S42" s="12"/>
      <c r="T42" s="12"/>
      <c r="U42" s="43"/>
    </row>
    <row r="43" customFormat="false" ht="15" hidden="false" customHeight="true" outlineLevel="0" collapsed="false">
      <c r="A43" s="43"/>
      <c r="B43" s="81"/>
      <c r="C43" s="12"/>
      <c r="D43" s="47"/>
      <c r="E43" s="47"/>
      <c r="F43" s="12"/>
      <c r="G43" s="12"/>
      <c r="H43" s="47" t="str">
        <f aca="false">IF(G43="","",IFERROR(INDEX(Palette!$K$2:$K$151,MATCH(G43,Palette!$A$2:$A$151,0)),"NOT IN PALETTE"))</f>
        <v/>
      </c>
      <c r="I43" s="43"/>
      <c r="J43" s="47"/>
      <c r="K43" s="47"/>
      <c r="L43" s="47"/>
      <c r="M43" s="47"/>
      <c r="N43" s="47"/>
      <c r="O43" s="47"/>
      <c r="P43" s="47"/>
      <c r="Q43" s="37" t="str">
        <f aca="false">IF(OR(B43="",G43=""),"",IF(AND(R43&lt;&gt;"",R43=0),"closed",IF(L43="",EDATE(B43,12),IF(M43="",EDATE(B43,24),IF(N43="",EDATE(B43,36),IF(O43="",EDATE(B43,60),IF(P43="",EDATE(B43,120),"done")))))))</f>
        <v/>
      </c>
      <c r="R43" s="47"/>
      <c r="S43" s="12"/>
      <c r="T43" s="12"/>
      <c r="U43" s="43"/>
    </row>
    <row r="44" customFormat="false" ht="15" hidden="false" customHeight="true" outlineLevel="0" collapsed="false">
      <c r="A44" s="43"/>
      <c r="B44" s="81"/>
      <c r="C44" s="12"/>
      <c r="D44" s="47"/>
      <c r="E44" s="47"/>
      <c r="F44" s="12"/>
      <c r="G44" s="12"/>
      <c r="H44" s="47" t="str">
        <f aca="false">IF(G44="","",IFERROR(INDEX(Palette!$K$2:$K$151,MATCH(G44,Palette!$A$2:$A$151,0)),"NOT IN PALETTE"))</f>
        <v/>
      </c>
      <c r="I44" s="43"/>
      <c r="J44" s="47"/>
      <c r="K44" s="47"/>
      <c r="L44" s="47"/>
      <c r="M44" s="47"/>
      <c r="N44" s="47"/>
      <c r="O44" s="47"/>
      <c r="P44" s="47"/>
      <c r="Q44" s="37" t="str">
        <f aca="false">IF(OR(B44="",G44=""),"",IF(AND(R44&lt;&gt;"",R44=0),"closed",IF(L44="",EDATE(B44,12),IF(M44="",EDATE(B44,24),IF(N44="",EDATE(B44,36),IF(O44="",EDATE(B44,60),IF(P44="",EDATE(B44,120),"done")))))))</f>
        <v/>
      </c>
      <c r="R44" s="47"/>
      <c r="S44" s="12"/>
      <c r="T44" s="12"/>
      <c r="U44" s="43"/>
    </row>
    <row r="45" customFormat="false" ht="15" hidden="false" customHeight="true" outlineLevel="0" collapsed="false">
      <c r="A45" s="43"/>
      <c r="B45" s="81"/>
      <c r="C45" s="12"/>
      <c r="D45" s="47"/>
      <c r="E45" s="47"/>
      <c r="F45" s="12"/>
      <c r="G45" s="12"/>
      <c r="H45" s="47" t="str">
        <f aca="false">IF(G45="","",IFERROR(INDEX(Palette!$K$2:$K$151,MATCH(G45,Palette!$A$2:$A$151,0)),"NOT IN PALETTE"))</f>
        <v/>
      </c>
      <c r="I45" s="43"/>
      <c r="J45" s="47"/>
      <c r="K45" s="47"/>
      <c r="L45" s="47"/>
      <c r="M45" s="47"/>
      <c r="N45" s="47"/>
      <c r="O45" s="47"/>
      <c r="P45" s="47"/>
      <c r="Q45" s="37" t="str">
        <f aca="false">IF(OR(B45="",G45=""),"",IF(AND(R45&lt;&gt;"",R45=0),"closed",IF(L45="",EDATE(B45,12),IF(M45="",EDATE(B45,24),IF(N45="",EDATE(B45,36),IF(O45="",EDATE(B45,60),IF(P45="",EDATE(B45,120),"done")))))))</f>
        <v/>
      </c>
      <c r="R45" s="47"/>
      <c r="S45" s="12"/>
      <c r="T45" s="12"/>
      <c r="U45" s="43"/>
    </row>
    <row r="46" customFormat="false" ht="15" hidden="false" customHeight="true" outlineLevel="0" collapsed="false">
      <c r="A46" s="43"/>
      <c r="B46" s="81"/>
      <c r="C46" s="12"/>
      <c r="D46" s="47"/>
      <c r="E46" s="47"/>
      <c r="F46" s="12"/>
      <c r="G46" s="12"/>
      <c r="H46" s="47" t="str">
        <f aca="false">IF(G46="","",IFERROR(INDEX(Palette!$K$2:$K$151,MATCH(G46,Palette!$A$2:$A$151,0)),"NOT IN PALETTE"))</f>
        <v/>
      </c>
      <c r="I46" s="43"/>
      <c r="J46" s="47"/>
      <c r="K46" s="47"/>
      <c r="L46" s="47"/>
      <c r="M46" s="47"/>
      <c r="N46" s="47"/>
      <c r="O46" s="47"/>
      <c r="P46" s="47"/>
      <c r="Q46" s="37" t="str">
        <f aca="false">IF(OR(B46="",G46=""),"",IF(AND(R46&lt;&gt;"",R46=0),"closed",IF(L46="",EDATE(B46,12),IF(M46="",EDATE(B46,24),IF(N46="",EDATE(B46,36),IF(O46="",EDATE(B46,60),IF(P46="",EDATE(B46,120),"done")))))))</f>
        <v/>
      </c>
      <c r="R46" s="47"/>
      <c r="S46" s="12"/>
      <c r="T46" s="12"/>
      <c r="U46" s="43"/>
    </row>
    <row r="47" customFormat="false" ht="15" hidden="false" customHeight="true" outlineLevel="0" collapsed="false">
      <c r="A47" s="43"/>
      <c r="B47" s="81"/>
      <c r="C47" s="12"/>
      <c r="D47" s="47"/>
      <c r="E47" s="47"/>
      <c r="F47" s="12"/>
      <c r="G47" s="12"/>
      <c r="H47" s="47" t="str">
        <f aca="false">IF(G47="","",IFERROR(INDEX(Palette!$K$2:$K$151,MATCH(G47,Palette!$A$2:$A$151,0)),"NOT IN PALETTE"))</f>
        <v/>
      </c>
      <c r="I47" s="43"/>
      <c r="J47" s="47"/>
      <c r="K47" s="47"/>
      <c r="L47" s="47"/>
      <c r="M47" s="47"/>
      <c r="N47" s="47"/>
      <c r="O47" s="47"/>
      <c r="P47" s="47"/>
      <c r="Q47" s="37" t="str">
        <f aca="false">IF(OR(B47="",G47=""),"",IF(AND(R47&lt;&gt;"",R47=0),"closed",IF(L47="",EDATE(B47,12),IF(M47="",EDATE(B47,24),IF(N47="",EDATE(B47,36),IF(O47="",EDATE(B47,60),IF(P47="",EDATE(B47,120),"done")))))))</f>
        <v/>
      </c>
      <c r="R47" s="47"/>
      <c r="S47" s="12"/>
      <c r="T47" s="12"/>
      <c r="U47" s="43"/>
    </row>
    <row r="48" customFormat="false" ht="15" hidden="false" customHeight="true" outlineLevel="0" collapsed="false">
      <c r="A48" s="43"/>
      <c r="B48" s="81"/>
      <c r="C48" s="12"/>
      <c r="D48" s="47"/>
      <c r="E48" s="47"/>
      <c r="F48" s="12"/>
      <c r="G48" s="12"/>
      <c r="H48" s="47" t="str">
        <f aca="false">IF(G48="","",IFERROR(INDEX(Palette!$K$2:$K$151,MATCH(G48,Palette!$A$2:$A$151,0)),"NOT IN PALETTE"))</f>
        <v/>
      </c>
      <c r="I48" s="43"/>
      <c r="J48" s="47"/>
      <c r="K48" s="47"/>
      <c r="L48" s="47"/>
      <c r="M48" s="47"/>
      <c r="N48" s="47"/>
      <c r="O48" s="47"/>
      <c r="P48" s="47"/>
      <c r="Q48" s="37" t="str">
        <f aca="false">IF(OR(B48="",G48=""),"",IF(AND(R48&lt;&gt;"",R48=0),"closed",IF(L48="",EDATE(B48,12),IF(M48="",EDATE(B48,24),IF(N48="",EDATE(B48,36),IF(O48="",EDATE(B48,60),IF(P48="",EDATE(B48,120),"done")))))))</f>
        <v/>
      </c>
      <c r="R48" s="47"/>
      <c r="S48" s="12"/>
      <c r="T48" s="12"/>
      <c r="U48" s="43"/>
    </row>
    <row r="49" customFormat="false" ht="15" hidden="false" customHeight="true" outlineLevel="0" collapsed="false">
      <c r="A49" s="43"/>
      <c r="B49" s="81"/>
      <c r="C49" s="12"/>
      <c r="D49" s="47"/>
      <c r="E49" s="47"/>
      <c r="F49" s="12"/>
      <c r="G49" s="12"/>
      <c r="H49" s="47" t="str">
        <f aca="false">IF(G49="","",IFERROR(INDEX(Palette!$K$2:$K$151,MATCH(G49,Palette!$A$2:$A$151,0)),"NOT IN PALETTE"))</f>
        <v/>
      </c>
      <c r="I49" s="43"/>
      <c r="J49" s="47"/>
      <c r="K49" s="47"/>
      <c r="L49" s="47"/>
      <c r="M49" s="47"/>
      <c r="N49" s="47"/>
      <c r="O49" s="47"/>
      <c r="P49" s="47"/>
      <c r="Q49" s="37" t="str">
        <f aca="false">IF(OR(B49="",G49=""),"",IF(AND(R49&lt;&gt;"",R49=0),"closed",IF(L49="",EDATE(B49,12),IF(M49="",EDATE(B49,24),IF(N49="",EDATE(B49,36),IF(O49="",EDATE(B49,60),IF(P49="",EDATE(B49,120),"done")))))))</f>
        <v/>
      </c>
      <c r="R49" s="47"/>
      <c r="S49" s="12"/>
      <c r="T49" s="12"/>
      <c r="U49" s="43"/>
    </row>
    <row r="50" customFormat="false" ht="15" hidden="false" customHeight="true" outlineLevel="0" collapsed="false">
      <c r="A50" s="43"/>
      <c r="B50" s="81"/>
      <c r="C50" s="12"/>
      <c r="D50" s="47"/>
      <c r="E50" s="47"/>
      <c r="F50" s="12"/>
      <c r="G50" s="12"/>
      <c r="H50" s="47" t="str">
        <f aca="false">IF(G50="","",IFERROR(INDEX(Palette!$K$2:$K$151,MATCH(G50,Palette!$A$2:$A$151,0)),"NOT IN PALETTE"))</f>
        <v/>
      </c>
      <c r="I50" s="43"/>
      <c r="J50" s="47"/>
      <c r="K50" s="47"/>
      <c r="L50" s="47"/>
      <c r="M50" s="47"/>
      <c r="N50" s="47"/>
      <c r="O50" s="47"/>
      <c r="P50" s="47"/>
      <c r="Q50" s="37" t="str">
        <f aca="false">IF(OR(B50="",G50=""),"",IF(AND(R50&lt;&gt;"",R50=0),"closed",IF(L50="",EDATE(B50,12),IF(M50="",EDATE(B50,24),IF(N50="",EDATE(B50,36),IF(O50="",EDATE(B50,60),IF(P50="",EDATE(B50,120),"done")))))))</f>
        <v/>
      </c>
      <c r="R50" s="47"/>
      <c r="S50" s="12"/>
      <c r="T50" s="12"/>
      <c r="U50" s="43"/>
    </row>
    <row r="51" customFormat="false" ht="15" hidden="false" customHeight="true" outlineLevel="0" collapsed="false">
      <c r="A51" s="43"/>
      <c r="B51" s="81"/>
      <c r="C51" s="12"/>
      <c r="D51" s="47"/>
      <c r="E51" s="47"/>
      <c r="F51" s="12"/>
      <c r="G51" s="12"/>
      <c r="H51" s="47" t="str">
        <f aca="false">IF(G51="","",IFERROR(INDEX(Palette!$K$2:$K$151,MATCH(G51,Palette!$A$2:$A$151,0)),"NOT IN PALETTE"))</f>
        <v/>
      </c>
      <c r="I51" s="43"/>
      <c r="J51" s="47"/>
      <c r="K51" s="47"/>
      <c r="L51" s="47"/>
      <c r="M51" s="47"/>
      <c r="N51" s="47"/>
      <c r="O51" s="47"/>
      <c r="P51" s="47"/>
      <c r="Q51" s="37" t="str">
        <f aca="false">IF(OR(B51="",G51=""),"",IF(AND(R51&lt;&gt;"",R51=0),"closed",IF(L51="",EDATE(B51,12),IF(M51="",EDATE(B51,24),IF(N51="",EDATE(B51,36),IF(O51="",EDATE(B51,60),IF(P51="",EDATE(B51,120),"done")))))))</f>
        <v/>
      </c>
      <c r="R51" s="47"/>
      <c r="S51" s="12"/>
      <c r="T51" s="12"/>
      <c r="U51" s="43"/>
    </row>
    <row r="52" customFormat="false" ht="15" hidden="false" customHeight="true" outlineLevel="0" collapsed="false">
      <c r="A52" s="43"/>
      <c r="B52" s="81"/>
      <c r="C52" s="12"/>
      <c r="D52" s="47"/>
      <c r="E52" s="47"/>
      <c r="F52" s="12"/>
      <c r="G52" s="12"/>
      <c r="H52" s="47" t="str">
        <f aca="false">IF(G52="","",IFERROR(INDEX(Palette!$K$2:$K$151,MATCH(G52,Palette!$A$2:$A$151,0)),"NOT IN PALETTE"))</f>
        <v/>
      </c>
      <c r="I52" s="43"/>
      <c r="J52" s="47"/>
      <c r="K52" s="47"/>
      <c r="L52" s="47"/>
      <c r="M52" s="47"/>
      <c r="N52" s="47"/>
      <c r="O52" s="47"/>
      <c r="P52" s="47"/>
      <c r="Q52" s="37" t="str">
        <f aca="false">IF(OR(B52="",G52=""),"",IF(AND(R52&lt;&gt;"",R52=0),"closed",IF(L52="",EDATE(B52,12),IF(M52="",EDATE(B52,24),IF(N52="",EDATE(B52,36),IF(O52="",EDATE(B52,60),IF(P52="",EDATE(B52,120),"done")))))))</f>
        <v/>
      </c>
      <c r="R52" s="47"/>
      <c r="S52" s="12"/>
      <c r="T52" s="12"/>
      <c r="U52" s="43"/>
    </row>
    <row r="53" customFormat="false" ht="15" hidden="false" customHeight="true" outlineLevel="0" collapsed="false">
      <c r="A53" s="43"/>
      <c r="B53" s="81"/>
      <c r="C53" s="12"/>
      <c r="D53" s="47"/>
      <c r="E53" s="47"/>
      <c r="F53" s="12"/>
      <c r="G53" s="12"/>
      <c r="H53" s="47" t="str">
        <f aca="false">IF(G53="","",IFERROR(INDEX(Palette!$K$2:$K$151,MATCH(G53,Palette!$A$2:$A$151,0)),"NOT IN PALETTE"))</f>
        <v/>
      </c>
      <c r="I53" s="43"/>
      <c r="J53" s="47"/>
      <c r="K53" s="47"/>
      <c r="L53" s="47"/>
      <c r="M53" s="47"/>
      <c r="N53" s="47"/>
      <c r="O53" s="47"/>
      <c r="P53" s="47"/>
      <c r="Q53" s="37" t="str">
        <f aca="false">IF(OR(B53="",G53=""),"",IF(AND(R53&lt;&gt;"",R53=0),"closed",IF(L53="",EDATE(B53,12),IF(M53="",EDATE(B53,24),IF(N53="",EDATE(B53,36),IF(O53="",EDATE(B53,60),IF(P53="",EDATE(B53,120),"done")))))))</f>
        <v/>
      </c>
      <c r="R53" s="47"/>
      <c r="S53" s="12"/>
      <c r="T53" s="12"/>
      <c r="U53" s="43"/>
    </row>
    <row r="54" customFormat="false" ht="15" hidden="false" customHeight="true" outlineLevel="0" collapsed="false">
      <c r="A54" s="43"/>
      <c r="B54" s="81"/>
      <c r="C54" s="12"/>
      <c r="D54" s="47"/>
      <c r="E54" s="47"/>
      <c r="F54" s="12"/>
      <c r="G54" s="12"/>
      <c r="H54" s="47" t="str">
        <f aca="false">IF(G54="","",IFERROR(INDEX(Palette!$K$2:$K$151,MATCH(G54,Palette!$A$2:$A$151,0)),"NOT IN PALETTE"))</f>
        <v/>
      </c>
      <c r="I54" s="43"/>
      <c r="J54" s="47"/>
      <c r="K54" s="47"/>
      <c r="L54" s="47"/>
      <c r="M54" s="47"/>
      <c r="N54" s="47"/>
      <c r="O54" s="47"/>
      <c r="P54" s="47"/>
      <c r="Q54" s="37" t="str">
        <f aca="false">IF(OR(B54="",G54=""),"",IF(AND(R54&lt;&gt;"",R54=0),"closed",IF(L54="",EDATE(B54,12),IF(M54="",EDATE(B54,24),IF(N54="",EDATE(B54,36),IF(O54="",EDATE(B54,60),IF(P54="",EDATE(B54,120),"done")))))))</f>
        <v/>
      </c>
      <c r="R54" s="47"/>
      <c r="S54" s="12"/>
      <c r="T54" s="12"/>
      <c r="U54" s="43"/>
    </row>
    <row r="55" customFormat="false" ht="15" hidden="false" customHeight="true" outlineLevel="0" collapsed="false">
      <c r="A55" s="43"/>
      <c r="B55" s="81"/>
      <c r="C55" s="12"/>
      <c r="D55" s="47"/>
      <c r="E55" s="47"/>
      <c r="F55" s="12"/>
      <c r="G55" s="12"/>
      <c r="H55" s="47" t="str">
        <f aca="false">IF(G55="","",IFERROR(INDEX(Palette!$K$2:$K$151,MATCH(G55,Palette!$A$2:$A$151,0)),"NOT IN PALETTE"))</f>
        <v/>
      </c>
      <c r="I55" s="43"/>
      <c r="J55" s="47"/>
      <c r="K55" s="47"/>
      <c r="L55" s="47"/>
      <c r="M55" s="47"/>
      <c r="N55" s="47"/>
      <c r="O55" s="47"/>
      <c r="P55" s="47"/>
      <c r="Q55" s="37" t="str">
        <f aca="false">IF(OR(B55="",G55=""),"",IF(AND(R55&lt;&gt;"",R55=0),"closed",IF(L55="",EDATE(B55,12),IF(M55="",EDATE(B55,24),IF(N55="",EDATE(B55,36),IF(O55="",EDATE(B55,60),IF(P55="",EDATE(B55,120),"done")))))))</f>
        <v/>
      </c>
      <c r="R55" s="47"/>
      <c r="S55" s="12"/>
      <c r="T55" s="12"/>
      <c r="U55" s="43"/>
    </row>
    <row r="56" customFormat="false" ht="15" hidden="false" customHeight="true" outlineLevel="0" collapsed="false">
      <c r="A56" s="43"/>
      <c r="B56" s="81"/>
      <c r="C56" s="12"/>
      <c r="D56" s="47"/>
      <c r="E56" s="47"/>
      <c r="F56" s="12"/>
      <c r="G56" s="12"/>
      <c r="H56" s="47" t="str">
        <f aca="false">IF(G56="","",IFERROR(INDEX(Palette!$K$2:$K$151,MATCH(G56,Palette!$A$2:$A$151,0)),"NOT IN PALETTE"))</f>
        <v/>
      </c>
      <c r="I56" s="43"/>
      <c r="J56" s="47"/>
      <c r="K56" s="47"/>
      <c r="L56" s="47"/>
      <c r="M56" s="47"/>
      <c r="N56" s="47"/>
      <c r="O56" s="47"/>
      <c r="P56" s="47"/>
      <c r="Q56" s="37" t="str">
        <f aca="false">IF(OR(B56="",G56=""),"",IF(AND(R56&lt;&gt;"",R56=0),"closed",IF(L56="",EDATE(B56,12),IF(M56="",EDATE(B56,24),IF(N56="",EDATE(B56,36),IF(O56="",EDATE(B56,60),IF(P56="",EDATE(B56,120),"done")))))))</f>
        <v/>
      </c>
      <c r="R56" s="47"/>
      <c r="S56" s="12"/>
      <c r="T56" s="12"/>
      <c r="U56" s="43"/>
    </row>
    <row r="57" customFormat="false" ht="15" hidden="false" customHeight="true" outlineLevel="0" collapsed="false">
      <c r="A57" s="43"/>
      <c r="B57" s="81"/>
      <c r="C57" s="12"/>
      <c r="D57" s="47"/>
      <c r="E57" s="47"/>
      <c r="F57" s="12"/>
      <c r="G57" s="12"/>
      <c r="H57" s="47" t="str">
        <f aca="false">IF(G57="","",IFERROR(INDEX(Palette!$K$2:$K$151,MATCH(G57,Palette!$A$2:$A$151,0)),"NOT IN PALETTE"))</f>
        <v/>
      </c>
      <c r="I57" s="43"/>
      <c r="J57" s="47"/>
      <c r="K57" s="47"/>
      <c r="L57" s="47"/>
      <c r="M57" s="47"/>
      <c r="N57" s="47"/>
      <c r="O57" s="47"/>
      <c r="P57" s="47"/>
      <c r="Q57" s="37" t="str">
        <f aca="false">IF(OR(B57="",G57=""),"",IF(AND(R57&lt;&gt;"",R57=0),"closed",IF(L57="",EDATE(B57,12),IF(M57="",EDATE(B57,24),IF(N57="",EDATE(B57,36),IF(O57="",EDATE(B57,60),IF(P57="",EDATE(B57,120),"done")))))))</f>
        <v/>
      </c>
      <c r="R57" s="47"/>
      <c r="S57" s="12"/>
      <c r="T57" s="12"/>
      <c r="U57" s="43"/>
    </row>
    <row r="58" customFormat="false" ht="15" hidden="false" customHeight="true" outlineLevel="0" collapsed="false">
      <c r="A58" s="43"/>
      <c r="B58" s="81"/>
      <c r="C58" s="12"/>
      <c r="D58" s="47"/>
      <c r="E58" s="47"/>
      <c r="F58" s="12"/>
      <c r="G58" s="12"/>
      <c r="H58" s="47" t="str">
        <f aca="false">IF(G58="","",IFERROR(INDEX(Palette!$K$2:$K$151,MATCH(G58,Palette!$A$2:$A$151,0)),"NOT IN PALETTE"))</f>
        <v/>
      </c>
      <c r="I58" s="43"/>
      <c r="J58" s="47"/>
      <c r="K58" s="47"/>
      <c r="L58" s="47"/>
      <c r="M58" s="47"/>
      <c r="N58" s="47"/>
      <c r="O58" s="47"/>
      <c r="P58" s="47"/>
      <c r="Q58" s="37" t="str">
        <f aca="false">IF(OR(B58="",G58=""),"",IF(AND(R58&lt;&gt;"",R58=0),"closed",IF(L58="",EDATE(B58,12),IF(M58="",EDATE(B58,24),IF(N58="",EDATE(B58,36),IF(O58="",EDATE(B58,60),IF(P58="",EDATE(B58,120),"done")))))))</f>
        <v/>
      </c>
      <c r="R58" s="47"/>
      <c r="S58" s="12"/>
      <c r="T58" s="12"/>
      <c r="U58" s="43"/>
    </row>
    <row r="59" customFormat="false" ht="15" hidden="false" customHeight="true" outlineLevel="0" collapsed="false">
      <c r="A59" s="43"/>
      <c r="B59" s="81"/>
      <c r="C59" s="12"/>
      <c r="D59" s="47"/>
      <c r="E59" s="47"/>
      <c r="F59" s="12"/>
      <c r="G59" s="12"/>
      <c r="H59" s="47" t="str">
        <f aca="false">IF(G59="","",IFERROR(INDEX(Palette!$K$2:$K$151,MATCH(G59,Palette!$A$2:$A$151,0)),"NOT IN PALETTE"))</f>
        <v/>
      </c>
      <c r="I59" s="43"/>
      <c r="J59" s="47"/>
      <c r="K59" s="47"/>
      <c r="L59" s="47"/>
      <c r="M59" s="47"/>
      <c r="N59" s="47"/>
      <c r="O59" s="47"/>
      <c r="P59" s="47"/>
      <c r="Q59" s="37" t="str">
        <f aca="false">IF(OR(B59="",G59=""),"",IF(AND(R59&lt;&gt;"",R59=0),"closed",IF(L59="",EDATE(B59,12),IF(M59="",EDATE(B59,24),IF(N59="",EDATE(B59,36),IF(O59="",EDATE(B59,60),IF(P59="",EDATE(B59,120),"done")))))))</f>
        <v/>
      </c>
      <c r="R59" s="47"/>
      <c r="S59" s="12"/>
      <c r="T59" s="12"/>
      <c r="U59" s="43"/>
    </row>
    <row r="60" customFormat="false" ht="15" hidden="false" customHeight="true" outlineLevel="0" collapsed="false">
      <c r="A60" s="43"/>
      <c r="B60" s="81"/>
      <c r="C60" s="12"/>
      <c r="D60" s="47"/>
      <c r="E60" s="47"/>
      <c r="F60" s="12"/>
      <c r="G60" s="12"/>
      <c r="H60" s="47" t="str">
        <f aca="false">IF(G60="","",IFERROR(INDEX(Palette!$K$2:$K$151,MATCH(G60,Palette!$A$2:$A$151,0)),"NOT IN PALETTE"))</f>
        <v/>
      </c>
      <c r="I60" s="43"/>
      <c r="J60" s="47"/>
      <c r="K60" s="47"/>
      <c r="L60" s="47"/>
      <c r="M60" s="47"/>
      <c r="N60" s="47"/>
      <c r="O60" s="47"/>
      <c r="P60" s="47"/>
      <c r="Q60" s="37" t="str">
        <f aca="false">IF(OR(B60="",G60=""),"",IF(AND(R60&lt;&gt;"",R60=0),"closed",IF(L60="",EDATE(B60,12),IF(M60="",EDATE(B60,24),IF(N60="",EDATE(B60,36),IF(O60="",EDATE(B60,60),IF(P60="",EDATE(B60,120),"done")))))))</f>
        <v/>
      </c>
      <c r="R60" s="47"/>
      <c r="S60" s="12"/>
      <c r="T60" s="12"/>
      <c r="U60" s="43"/>
    </row>
    <row r="61" customFormat="false" ht="15" hidden="false" customHeight="true" outlineLevel="0" collapsed="false">
      <c r="A61" s="43"/>
      <c r="B61" s="81"/>
      <c r="C61" s="12"/>
      <c r="D61" s="47"/>
      <c r="E61" s="47"/>
      <c r="F61" s="12"/>
      <c r="G61" s="12"/>
      <c r="H61" s="47" t="str">
        <f aca="false">IF(G61="","",IFERROR(INDEX(Palette!$K$2:$K$151,MATCH(G61,Palette!$A$2:$A$151,0)),"NOT IN PALETTE"))</f>
        <v/>
      </c>
      <c r="I61" s="43"/>
      <c r="J61" s="47"/>
      <c r="K61" s="47"/>
      <c r="L61" s="47"/>
      <c r="M61" s="47"/>
      <c r="N61" s="47"/>
      <c r="O61" s="47"/>
      <c r="P61" s="47"/>
      <c r="Q61" s="37" t="str">
        <f aca="false">IF(OR(B61="",G61=""),"",IF(AND(R61&lt;&gt;"",R61=0),"closed",IF(L61="",EDATE(B61,12),IF(M61="",EDATE(B61,24),IF(N61="",EDATE(B61,36),IF(O61="",EDATE(B61,60),IF(P61="",EDATE(B61,120),"done")))))))</f>
        <v/>
      </c>
      <c r="R61" s="47"/>
      <c r="S61" s="12"/>
      <c r="T61" s="12"/>
      <c r="U61" s="43"/>
    </row>
    <row r="62" customFormat="false" ht="15" hidden="false" customHeight="true" outlineLevel="0" collapsed="false">
      <c r="A62" s="43"/>
      <c r="B62" s="81"/>
      <c r="C62" s="12"/>
      <c r="D62" s="47"/>
      <c r="E62" s="47"/>
      <c r="F62" s="12"/>
      <c r="G62" s="12"/>
      <c r="H62" s="47" t="str">
        <f aca="false">IF(G62="","",IFERROR(INDEX(Palette!$K$2:$K$151,MATCH(G62,Palette!$A$2:$A$151,0)),"NOT IN PALETTE"))</f>
        <v/>
      </c>
      <c r="I62" s="43"/>
      <c r="J62" s="47"/>
      <c r="K62" s="47"/>
      <c r="L62" s="47"/>
      <c r="M62" s="47"/>
      <c r="N62" s="47"/>
      <c r="O62" s="47"/>
      <c r="P62" s="47"/>
      <c r="Q62" s="37" t="str">
        <f aca="false">IF(OR(B62="",G62=""),"",IF(AND(R62&lt;&gt;"",R62=0),"closed",IF(L62="",EDATE(B62,12),IF(M62="",EDATE(B62,24),IF(N62="",EDATE(B62,36),IF(O62="",EDATE(B62,60),IF(P62="",EDATE(B62,120),"done")))))))</f>
        <v/>
      </c>
      <c r="R62" s="47"/>
      <c r="S62" s="12"/>
      <c r="T62" s="12"/>
      <c r="U62" s="43"/>
    </row>
    <row r="63" customFormat="false" ht="15" hidden="false" customHeight="true" outlineLevel="0" collapsed="false">
      <c r="A63" s="43"/>
      <c r="B63" s="81"/>
      <c r="C63" s="12"/>
      <c r="D63" s="47"/>
      <c r="E63" s="47"/>
      <c r="F63" s="12"/>
      <c r="G63" s="12"/>
      <c r="H63" s="47" t="str">
        <f aca="false">IF(G63="","",IFERROR(INDEX(Palette!$K$2:$K$151,MATCH(G63,Palette!$A$2:$A$151,0)),"NOT IN PALETTE"))</f>
        <v/>
      </c>
      <c r="I63" s="43"/>
      <c r="J63" s="47"/>
      <c r="K63" s="47"/>
      <c r="L63" s="47"/>
      <c r="M63" s="47"/>
      <c r="N63" s="47"/>
      <c r="O63" s="47"/>
      <c r="P63" s="47"/>
      <c r="Q63" s="37" t="str">
        <f aca="false">IF(OR(B63="",G63=""),"",IF(AND(R63&lt;&gt;"",R63=0),"closed",IF(L63="",EDATE(B63,12),IF(M63="",EDATE(B63,24),IF(N63="",EDATE(B63,36),IF(O63="",EDATE(B63,60),IF(P63="",EDATE(B63,120),"done")))))))</f>
        <v/>
      </c>
      <c r="R63" s="47"/>
      <c r="S63" s="12"/>
      <c r="T63" s="12"/>
      <c r="U63" s="43"/>
    </row>
    <row r="64" customFormat="false" ht="15" hidden="false" customHeight="true" outlineLevel="0" collapsed="false">
      <c r="A64" s="43"/>
      <c r="B64" s="81"/>
      <c r="C64" s="12"/>
      <c r="D64" s="47"/>
      <c r="E64" s="47"/>
      <c r="F64" s="12"/>
      <c r="G64" s="12"/>
      <c r="H64" s="47" t="str">
        <f aca="false">IF(G64="","",IFERROR(INDEX(Palette!$K$2:$K$151,MATCH(G64,Palette!$A$2:$A$151,0)),"NOT IN PALETTE"))</f>
        <v/>
      </c>
      <c r="I64" s="43"/>
      <c r="J64" s="47"/>
      <c r="K64" s="47"/>
      <c r="L64" s="47"/>
      <c r="M64" s="47"/>
      <c r="N64" s="47"/>
      <c r="O64" s="47"/>
      <c r="P64" s="47"/>
      <c r="Q64" s="37" t="str">
        <f aca="false">IF(OR(B64="",G64=""),"",IF(AND(R64&lt;&gt;"",R64=0),"closed",IF(L64="",EDATE(B64,12),IF(M64="",EDATE(B64,24),IF(N64="",EDATE(B64,36),IF(O64="",EDATE(B64,60),IF(P64="",EDATE(B64,120),"done")))))))</f>
        <v/>
      </c>
      <c r="R64" s="47"/>
      <c r="S64" s="12"/>
      <c r="T64" s="12"/>
      <c r="U64" s="43"/>
    </row>
    <row r="65" customFormat="false" ht="15" hidden="false" customHeight="true" outlineLevel="0" collapsed="false">
      <c r="A65" s="43"/>
      <c r="B65" s="81"/>
      <c r="C65" s="12"/>
      <c r="D65" s="47"/>
      <c r="E65" s="47"/>
      <c r="F65" s="12"/>
      <c r="G65" s="12"/>
      <c r="H65" s="47" t="str">
        <f aca="false">IF(G65="","",IFERROR(INDEX(Palette!$K$2:$K$151,MATCH(G65,Palette!$A$2:$A$151,0)),"NOT IN PALETTE"))</f>
        <v/>
      </c>
      <c r="I65" s="43"/>
      <c r="J65" s="47"/>
      <c r="K65" s="47"/>
      <c r="L65" s="47"/>
      <c r="M65" s="47"/>
      <c r="N65" s="47"/>
      <c r="O65" s="47"/>
      <c r="P65" s="47"/>
      <c r="Q65" s="37" t="str">
        <f aca="false">IF(OR(B65="",G65=""),"",IF(AND(R65&lt;&gt;"",R65=0),"closed",IF(L65="",EDATE(B65,12),IF(M65="",EDATE(B65,24),IF(N65="",EDATE(B65,36),IF(O65="",EDATE(B65,60),IF(P65="",EDATE(B65,120),"done")))))))</f>
        <v/>
      </c>
      <c r="R65" s="47"/>
      <c r="S65" s="12"/>
      <c r="T65" s="12"/>
      <c r="U65" s="43"/>
    </row>
    <row r="66" customFormat="false" ht="15" hidden="false" customHeight="true" outlineLevel="0" collapsed="false">
      <c r="A66" s="43"/>
      <c r="B66" s="81"/>
      <c r="C66" s="12"/>
      <c r="D66" s="47"/>
      <c r="E66" s="47"/>
      <c r="F66" s="12"/>
      <c r="G66" s="12"/>
      <c r="H66" s="47" t="str">
        <f aca="false">IF(G66="","",IFERROR(INDEX(Palette!$K$2:$K$151,MATCH(G66,Palette!$A$2:$A$151,0)),"NOT IN PALETTE"))</f>
        <v/>
      </c>
      <c r="I66" s="43"/>
      <c r="J66" s="47"/>
      <c r="K66" s="47"/>
      <c r="L66" s="47"/>
      <c r="M66" s="47"/>
      <c r="N66" s="47"/>
      <c r="O66" s="47"/>
      <c r="P66" s="47"/>
      <c r="Q66" s="37" t="str">
        <f aca="false">IF(OR(B66="",G66=""),"",IF(AND(R66&lt;&gt;"",R66=0),"closed",IF(L66="",EDATE(B66,12),IF(M66="",EDATE(B66,24),IF(N66="",EDATE(B66,36),IF(O66="",EDATE(B66,60),IF(P66="",EDATE(B66,120),"done")))))))</f>
        <v/>
      </c>
      <c r="R66" s="47"/>
      <c r="S66" s="12"/>
      <c r="T66" s="12"/>
      <c r="U66" s="43"/>
    </row>
    <row r="67" customFormat="false" ht="15" hidden="false" customHeight="true" outlineLevel="0" collapsed="false">
      <c r="A67" s="43"/>
      <c r="B67" s="81"/>
      <c r="C67" s="12"/>
      <c r="D67" s="47"/>
      <c r="E67" s="47"/>
      <c r="F67" s="12"/>
      <c r="G67" s="12"/>
      <c r="H67" s="47" t="str">
        <f aca="false">IF(G67="","",IFERROR(INDEX(Palette!$K$2:$K$151,MATCH(G67,Palette!$A$2:$A$151,0)),"NOT IN PALETTE"))</f>
        <v/>
      </c>
      <c r="I67" s="43"/>
      <c r="J67" s="47"/>
      <c r="K67" s="47"/>
      <c r="L67" s="47"/>
      <c r="M67" s="47"/>
      <c r="N67" s="47"/>
      <c r="O67" s="47"/>
      <c r="P67" s="47"/>
      <c r="Q67" s="37" t="str">
        <f aca="false">IF(OR(B67="",G67=""),"",IF(AND(R67&lt;&gt;"",R67=0),"closed",IF(L67="",EDATE(B67,12),IF(M67="",EDATE(B67,24),IF(N67="",EDATE(B67,36),IF(O67="",EDATE(B67,60),IF(P67="",EDATE(B67,120),"done")))))))</f>
        <v/>
      </c>
      <c r="R67" s="47"/>
      <c r="S67" s="12"/>
      <c r="T67" s="12"/>
      <c r="U67" s="43"/>
    </row>
    <row r="68" customFormat="false" ht="15" hidden="false" customHeight="true" outlineLevel="0" collapsed="false">
      <c r="A68" s="43"/>
      <c r="B68" s="81"/>
      <c r="C68" s="12"/>
      <c r="D68" s="47"/>
      <c r="E68" s="47"/>
      <c r="F68" s="12"/>
      <c r="G68" s="12"/>
      <c r="H68" s="47" t="str">
        <f aca="false">IF(G68="","",IFERROR(INDEX(Palette!$K$2:$K$151,MATCH(G68,Palette!$A$2:$A$151,0)),"NOT IN PALETTE"))</f>
        <v/>
      </c>
      <c r="I68" s="43"/>
      <c r="J68" s="47"/>
      <c r="K68" s="47"/>
      <c r="L68" s="47"/>
      <c r="M68" s="47"/>
      <c r="N68" s="47"/>
      <c r="O68" s="47"/>
      <c r="P68" s="47"/>
      <c r="Q68" s="37" t="str">
        <f aca="false">IF(OR(B68="",G68=""),"",IF(AND(R68&lt;&gt;"",R68=0),"closed",IF(L68="",EDATE(B68,12),IF(M68="",EDATE(B68,24),IF(N68="",EDATE(B68,36),IF(O68="",EDATE(B68,60),IF(P68="",EDATE(B68,120),"done")))))))</f>
        <v/>
      </c>
      <c r="R68" s="47"/>
      <c r="S68" s="12"/>
      <c r="T68" s="12"/>
      <c r="U68" s="43"/>
    </row>
    <row r="69" customFormat="false" ht="15" hidden="false" customHeight="true" outlineLevel="0" collapsed="false">
      <c r="A69" s="43"/>
      <c r="B69" s="81"/>
      <c r="C69" s="12"/>
      <c r="D69" s="47"/>
      <c r="E69" s="47"/>
      <c r="F69" s="12"/>
      <c r="G69" s="12"/>
      <c r="H69" s="47" t="str">
        <f aca="false">IF(G69="","",IFERROR(INDEX(Palette!$K$2:$K$151,MATCH(G69,Palette!$A$2:$A$151,0)),"NOT IN PALETTE"))</f>
        <v/>
      </c>
      <c r="I69" s="43"/>
      <c r="J69" s="47"/>
      <c r="K69" s="47"/>
      <c r="L69" s="47"/>
      <c r="M69" s="47"/>
      <c r="N69" s="47"/>
      <c r="O69" s="47"/>
      <c r="P69" s="47"/>
      <c r="Q69" s="37" t="str">
        <f aca="false">IF(OR(B69="",G69=""),"",IF(AND(R69&lt;&gt;"",R69=0),"closed",IF(L69="",EDATE(B69,12),IF(M69="",EDATE(B69,24),IF(N69="",EDATE(B69,36),IF(O69="",EDATE(B69,60),IF(P69="",EDATE(B69,120),"done")))))))</f>
        <v/>
      </c>
      <c r="R69" s="47"/>
      <c r="S69" s="12"/>
      <c r="T69" s="12"/>
      <c r="U69" s="43"/>
    </row>
    <row r="70" customFormat="false" ht="15" hidden="false" customHeight="true" outlineLevel="0" collapsed="false">
      <c r="A70" s="43"/>
      <c r="B70" s="81"/>
      <c r="C70" s="12"/>
      <c r="D70" s="47"/>
      <c r="E70" s="47"/>
      <c r="F70" s="12"/>
      <c r="G70" s="12"/>
      <c r="H70" s="47" t="str">
        <f aca="false">IF(G70="","",IFERROR(INDEX(Palette!$K$2:$K$151,MATCH(G70,Palette!$A$2:$A$151,0)),"NOT IN PALETTE"))</f>
        <v/>
      </c>
      <c r="I70" s="43"/>
      <c r="J70" s="47"/>
      <c r="K70" s="47"/>
      <c r="L70" s="47"/>
      <c r="M70" s="47"/>
      <c r="N70" s="47"/>
      <c r="O70" s="47"/>
      <c r="P70" s="47"/>
      <c r="Q70" s="37" t="str">
        <f aca="false">IF(OR(B70="",G70=""),"",IF(AND(R70&lt;&gt;"",R70=0),"closed",IF(L70="",EDATE(B70,12),IF(M70="",EDATE(B70,24),IF(N70="",EDATE(B70,36),IF(O70="",EDATE(B70,60),IF(P70="",EDATE(B70,120),"done")))))))</f>
        <v/>
      </c>
      <c r="R70" s="47"/>
      <c r="S70" s="12"/>
      <c r="T70" s="12"/>
      <c r="U70" s="43"/>
    </row>
    <row r="71" customFormat="false" ht="15" hidden="false" customHeight="true" outlineLevel="0" collapsed="false">
      <c r="A71" s="43"/>
      <c r="B71" s="81"/>
      <c r="C71" s="12"/>
      <c r="D71" s="47"/>
      <c r="E71" s="47"/>
      <c r="F71" s="12"/>
      <c r="G71" s="12"/>
      <c r="H71" s="47" t="str">
        <f aca="false">IF(G71="","",IFERROR(INDEX(Palette!$K$2:$K$151,MATCH(G71,Palette!$A$2:$A$151,0)),"NOT IN PALETTE"))</f>
        <v/>
      </c>
      <c r="I71" s="43"/>
      <c r="J71" s="47"/>
      <c r="K71" s="47"/>
      <c r="L71" s="47"/>
      <c r="M71" s="47"/>
      <c r="N71" s="47"/>
      <c r="O71" s="47"/>
      <c r="P71" s="47"/>
      <c r="Q71" s="37" t="str">
        <f aca="false">IF(OR(B71="",G71=""),"",IF(AND(R71&lt;&gt;"",R71=0),"closed",IF(L71="",EDATE(B71,12),IF(M71="",EDATE(B71,24),IF(N71="",EDATE(B71,36),IF(O71="",EDATE(B71,60),IF(P71="",EDATE(B71,120),"done")))))))</f>
        <v/>
      </c>
      <c r="R71" s="47"/>
      <c r="S71" s="12"/>
      <c r="T71" s="12"/>
      <c r="U71" s="43"/>
    </row>
    <row r="72" customFormat="false" ht="15" hidden="false" customHeight="true" outlineLevel="0" collapsed="false">
      <c r="A72" s="43"/>
      <c r="B72" s="81"/>
      <c r="C72" s="12"/>
      <c r="D72" s="47"/>
      <c r="E72" s="47"/>
      <c r="F72" s="12"/>
      <c r="G72" s="12"/>
      <c r="H72" s="47" t="str">
        <f aca="false">IF(G72="","",IFERROR(INDEX(Palette!$K$2:$K$151,MATCH(G72,Palette!$A$2:$A$151,0)),"NOT IN PALETTE"))</f>
        <v/>
      </c>
      <c r="I72" s="43"/>
      <c r="J72" s="47"/>
      <c r="K72" s="47"/>
      <c r="L72" s="47"/>
      <c r="M72" s="47"/>
      <c r="N72" s="47"/>
      <c r="O72" s="47"/>
      <c r="P72" s="47"/>
      <c r="Q72" s="37" t="str">
        <f aca="false">IF(OR(B72="",G72=""),"",IF(AND(R72&lt;&gt;"",R72=0),"closed",IF(L72="",EDATE(B72,12),IF(M72="",EDATE(B72,24),IF(N72="",EDATE(B72,36),IF(O72="",EDATE(B72,60),IF(P72="",EDATE(B72,120),"done")))))))</f>
        <v/>
      </c>
      <c r="R72" s="47"/>
      <c r="S72" s="12"/>
      <c r="T72" s="12"/>
      <c r="U72" s="43"/>
    </row>
    <row r="73" customFormat="false" ht="15" hidden="false" customHeight="true" outlineLevel="0" collapsed="false">
      <c r="A73" s="43"/>
      <c r="B73" s="81"/>
      <c r="C73" s="12"/>
      <c r="D73" s="47"/>
      <c r="E73" s="47"/>
      <c r="F73" s="12"/>
      <c r="G73" s="12"/>
      <c r="H73" s="47" t="str">
        <f aca="false">IF(G73="","",IFERROR(INDEX(Palette!$K$2:$K$151,MATCH(G73,Palette!$A$2:$A$151,0)),"NOT IN PALETTE"))</f>
        <v/>
      </c>
      <c r="I73" s="43"/>
      <c r="J73" s="47"/>
      <c r="K73" s="47"/>
      <c r="L73" s="47"/>
      <c r="M73" s="47"/>
      <c r="N73" s="47"/>
      <c r="O73" s="47"/>
      <c r="P73" s="47"/>
      <c r="Q73" s="37" t="str">
        <f aca="false">IF(OR(B73="",G73=""),"",IF(AND(R73&lt;&gt;"",R73=0),"closed",IF(L73="",EDATE(B73,12),IF(M73="",EDATE(B73,24),IF(N73="",EDATE(B73,36),IF(O73="",EDATE(B73,60),IF(P73="",EDATE(B73,120),"done")))))))</f>
        <v/>
      </c>
      <c r="R73" s="47"/>
      <c r="S73" s="12"/>
      <c r="T73" s="12"/>
      <c r="U73" s="43"/>
    </row>
    <row r="74" customFormat="false" ht="15" hidden="false" customHeight="true" outlineLevel="0" collapsed="false">
      <c r="A74" s="43"/>
      <c r="B74" s="81"/>
      <c r="C74" s="12"/>
      <c r="D74" s="47"/>
      <c r="E74" s="47"/>
      <c r="F74" s="12"/>
      <c r="G74" s="12"/>
      <c r="H74" s="47" t="str">
        <f aca="false">IF(G74="","",IFERROR(INDEX(Palette!$K$2:$K$151,MATCH(G74,Palette!$A$2:$A$151,0)),"NOT IN PALETTE"))</f>
        <v/>
      </c>
      <c r="I74" s="43"/>
      <c r="J74" s="47"/>
      <c r="K74" s="47"/>
      <c r="L74" s="47"/>
      <c r="M74" s="47"/>
      <c r="N74" s="47"/>
      <c r="O74" s="47"/>
      <c r="P74" s="47"/>
      <c r="Q74" s="37" t="str">
        <f aca="false">IF(OR(B74="",G74=""),"",IF(AND(R74&lt;&gt;"",R74=0),"closed",IF(L74="",EDATE(B74,12),IF(M74="",EDATE(B74,24),IF(N74="",EDATE(B74,36),IF(O74="",EDATE(B74,60),IF(P74="",EDATE(B74,120),"done")))))))</f>
        <v/>
      </c>
      <c r="R74" s="47"/>
      <c r="S74" s="12"/>
      <c r="T74" s="12"/>
      <c r="U74" s="43"/>
    </row>
    <row r="75" customFormat="false" ht="15" hidden="false" customHeight="true" outlineLevel="0" collapsed="false">
      <c r="A75" s="43"/>
      <c r="B75" s="81"/>
      <c r="C75" s="12"/>
      <c r="D75" s="47"/>
      <c r="E75" s="47"/>
      <c r="F75" s="12"/>
      <c r="G75" s="12"/>
      <c r="H75" s="47" t="str">
        <f aca="false">IF(G75="","",IFERROR(INDEX(Palette!$K$2:$K$151,MATCH(G75,Palette!$A$2:$A$151,0)),"NOT IN PALETTE"))</f>
        <v/>
      </c>
      <c r="I75" s="43"/>
      <c r="J75" s="47"/>
      <c r="K75" s="47"/>
      <c r="L75" s="47"/>
      <c r="M75" s="47"/>
      <c r="N75" s="47"/>
      <c r="O75" s="47"/>
      <c r="P75" s="47"/>
      <c r="Q75" s="37" t="str">
        <f aca="false">IF(OR(B75="",G75=""),"",IF(AND(R75&lt;&gt;"",R75=0),"closed",IF(L75="",EDATE(B75,12),IF(M75="",EDATE(B75,24),IF(N75="",EDATE(B75,36),IF(O75="",EDATE(B75,60),IF(P75="",EDATE(B75,120),"done")))))))</f>
        <v/>
      </c>
      <c r="R75" s="47"/>
      <c r="S75" s="12"/>
      <c r="T75" s="12"/>
      <c r="U75" s="43"/>
    </row>
    <row r="76" customFormat="false" ht="15" hidden="false" customHeight="true" outlineLevel="0" collapsed="false">
      <c r="A76" s="43"/>
      <c r="B76" s="81"/>
      <c r="C76" s="12"/>
      <c r="D76" s="47"/>
      <c r="E76" s="47"/>
      <c r="F76" s="12"/>
      <c r="G76" s="12"/>
      <c r="H76" s="47" t="str">
        <f aca="false">IF(G76="","",IFERROR(INDEX(Palette!$K$2:$K$151,MATCH(G76,Palette!$A$2:$A$151,0)),"NOT IN PALETTE"))</f>
        <v/>
      </c>
      <c r="I76" s="43"/>
      <c r="J76" s="47"/>
      <c r="K76" s="47"/>
      <c r="L76" s="47"/>
      <c r="M76" s="47"/>
      <c r="N76" s="47"/>
      <c r="O76" s="47"/>
      <c r="P76" s="47"/>
      <c r="Q76" s="37" t="str">
        <f aca="false">IF(OR(B76="",G76=""),"",IF(AND(R76&lt;&gt;"",R76=0),"closed",IF(L76="",EDATE(B76,12),IF(M76="",EDATE(B76,24),IF(N76="",EDATE(B76,36),IF(O76="",EDATE(B76,60),IF(P76="",EDATE(B76,120),"done")))))))</f>
        <v/>
      </c>
      <c r="R76" s="47"/>
      <c r="S76" s="12"/>
      <c r="T76" s="12"/>
      <c r="U76" s="43"/>
    </row>
    <row r="77" customFormat="false" ht="15" hidden="false" customHeight="true" outlineLevel="0" collapsed="false">
      <c r="A77" s="43"/>
      <c r="B77" s="81"/>
      <c r="C77" s="12"/>
      <c r="D77" s="47"/>
      <c r="E77" s="47"/>
      <c r="F77" s="12"/>
      <c r="G77" s="12"/>
      <c r="H77" s="47" t="str">
        <f aca="false">IF(G77="","",IFERROR(INDEX(Palette!$K$2:$K$151,MATCH(G77,Palette!$A$2:$A$151,0)),"NOT IN PALETTE"))</f>
        <v/>
      </c>
      <c r="I77" s="43"/>
      <c r="J77" s="47"/>
      <c r="K77" s="47"/>
      <c r="L77" s="47"/>
      <c r="M77" s="47"/>
      <c r="N77" s="47"/>
      <c r="O77" s="47"/>
      <c r="P77" s="47"/>
      <c r="Q77" s="37" t="str">
        <f aca="false">IF(OR(B77="",G77=""),"",IF(AND(R77&lt;&gt;"",R77=0),"closed",IF(L77="",EDATE(B77,12),IF(M77="",EDATE(B77,24),IF(N77="",EDATE(B77,36),IF(O77="",EDATE(B77,60),IF(P77="",EDATE(B77,120),"done")))))))</f>
        <v/>
      </c>
      <c r="R77" s="47"/>
      <c r="S77" s="12"/>
      <c r="T77" s="12"/>
      <c r="U77" s="43"/>
    </row>
    <row r="78" customFormat="false" ht="15" hidden="false" customHeight="true" outlineLevel="0" collapsed="false">
      <c r="A78" s="43"/>
      <c r="B78" s="81"/>
      <c r="C78" s="12"/>
      <c r="D78" s="47"/>
      <c r="E78" s="47"/>
      <c r="F78" s="12"/>
      <c r="G78" s="12"/>
      <c r="H78" s="47" t="str">
        <f aca="false">IF(G78="","",IFERROR(INDEX(Palette!$K$2:$K$151,MATCH(G78,Palette!$A$2:$A$151,0)),"NOT IN PALETTE"))</f>
        <v/>
      </c>
      <c r="I78" s="43"/>
      <c r="J78" s="47"/>
      <c r="K78" s="47"/>
      <c r="L78" s="47"/>
      <c r="M78" s="47"/>
      <c r="N78" s="47"/>
      <c r="O78" s="47"/>
      <c r="P78" s="47"/>
      <c r="Q78" s="37" t="str">
        <f aca="false">IF(OR(B78="",G78=""),"",IF(AND(R78&lt;&gt;"",R78=0),"closed",IF(L78="",EDATE(B78,12),IF(M78="",EDATE(B78,24),IF(N78="",EDATE(B78,36),IF(O78="",EDATE(B78,60),IF(P78="",EDATE(B78,120),"done")))))))</f>
        <v/>
      </c>
      <c r="R78" s="47"/>
      <c r="S78" s="12"/>
      <c r="T78" s="12"/>
      <c r="U78" s="43"/>
    </row>
    <row r="79" customFormat="false" ht="15" hidden="false" customHeight="true" outlineLevel="0" collapsed="false">
      <c r="A79" s="43"/>
      <c r="B79" s="81"/>
      <c r="C79" s="12"/>
      <c r="D79" s="47"/>
      <c r="E79" s="47"/>
      <c r="F79" s="12"/>
      <c r="G79" s="12"/>
      <c r="H79" s="47" t="str">
        <f aca="false">IF(G79="","",IFERROR(INDEX(Palette!$K$2:$K$151,MATCH(G79,Palette!$A$2:$A$151,0)),"NOT IN PALETTE"))</f>
        <v/>
      </c>
      <c r="I79" s="43"/>
      <c r="J79" s="47"/>
      <c r="K79" s="47"/>
      <c r="L79" s="47"/>
      <c r="M79" s="47"/>
      <c r="N79" s="47"/>
      <c r="O79" s="47"/>
      <c r="P79" s="47"/>
      <c r="Q79" s="37" t="str">
        <f aca="false">IF(OR(B79="",G79=""),"",IF(AND(R79&lt;&gt;"",R79=0),"closed",IF(L79="",EDATE(B79,12),IF(M79="",EDATE(B79,24),IF(N79="",EDATE(B79,36),IF(O79="",EDATE(B79,60),IF(P79="",EDATE(B79,120),"done")))))))</f>
        <v/>
      </c>
      <c r="R79" s="47"/>
      <c r="S79" s="12"/>
      <c r="T79" s="12"/>
      <c r="U79" s="43"/>
    </row>
    <row r="80" customFormat="false" ht="15" hidden="false" customHeight="true" outlineLevel="0" collapsed="false">
      <c r="A80" s="43"/>
      <c r="B80" s="81"/>
      <c r="C80" s="12"/>
      <c r="D80" s="47"/>
      <c r="E80" s="47"/>
      <c r="F80" s="12"/>
      <c r="G80" s="12"/>
      <c r="H80" s="47" t="str">
        <f aca="false">IF(G80="","",IFERROR(INDEX(Palette!$K$2:$K$151,MATCH(G80,Palette!$A$2:$A$151,0)),"NOT IN PALETTE"))</f>
        <v/>
      </c>
      <c r="I80" s="43"/>
      <c r="J80" s="47"/>
      <c r="K80" s="47"/>
      <c r="L80" s="47"/>
      <c r="M80" s="47"/>
      <c r="N80" s="47"/>
      <c r="O80" s="47"/>
      <c r="P80" s="47"/>
      <c r="Q80" s="37" t="str">
        <f aca="false">IF(OR(B80="",G80=""),"",IF(AND(R80&lt;&gt;"",R80=0),"closed",IF(L80="",EDATE(B80,12),IF(M80="",EDATE(B80,24),IF(N80="",EDATE(B80,36),IF(O80="",EDATE(B80,60),IF(P80="",EDATE(B80,120),"done")))))))</f>
        <v/>
      </c>
      <c r="R80" s="47"/>
      <c r="S80" s="12"/>
      <c r="T80" s="12"/>
      <c r="U80" s="43"/>
    </row>
    <row r="81" customFormat="false" ht="15" hidden="false" customHeight="true" outlineLevel="0" collapsed="false">
      <c r="A81" s="43"/>
      <c r="B81" s="81"/>
      <c r="C81" s="12"/>
      <c r="D81" s="47"/>
      <c r="E81" s="47"/>
      <c r="F81" s="12"/>
      <c r="G81" s="12"/>
      <c r="H81" s="47" t="str">
        <f aca="false">IF(G81="","",IFERROR(INDEX(Palette!$K$2:$K$151,MATCH(G81,Palette!$A$2:$A$151,0)),"NOT IN PALETTE"))</f>
        <v/>
      </c>
      <c r="I81" s="43"/>
      <c r="J81" s="47"/>
      <c r="K81" s="47"/>
      <c r="L81" s="47"/>
      <c r="M81" s="47"/>
      <c r="N81" s="47"/>
      <c r="O81" s="47"/>
      <c r="P81" s="47"/>
      <c r="Q81" s="37" t="str">
        <f aca="false">IF(OR(B81="",G81=""),"",IF(AND(R81&lt;&gt;"",R81=0),"closed",IF(L81="",EDATE(B81,12),IF(M81="",EDATE(B81,24),IF(N81="",EDATE(B81,36),IF(O81="",EDATE(B81,60),IF(P81="",EDATE(B81,120),"done")))))))</f>
        <v/>
      </c>
      <c r="R81" s="47"/>
      <c r="S81" s="12"/>
      <c r="T81" s="12"/>
      <c r="U81" s="43"/>
    </row>
    <row r="82" customFormat="false" ht="15" hidden="false" customHeight="true" outlineLevel="0" collapsed="false">
      <c r="A82" s="43"/>
      <c r="B82" s="81"/>
      <c r="C82" s="12"/>
      <c r="D82" s="47"/>
      <c r="E82" s="47"/>
      <c r="F82" s="12"/>
      <c r="G82" s="12"/>
      <c r="H82" s="47" t="str">
        <f aca="false">IF(G82="","",IFERROR(INDEX(Palette!$K$2:$K$151,MATCH(G82,Palette!$A$2:$A$151,0)),"NOT IN PALETTE"))</f>
        <v/>
      </c>
      <c r="I82" s="43"/>
      <c r="J82" s="47"/>
      <c r="K82" s="47"/>
      <c r="L82" s="47"/>
      <c r="M82" s="47"/>
      <c r="N82" s="47"/>
      <c r="O82" s="47"/>
      <c r="P82" s="47"/>
      <c r="Q82" s="37" t="str">
        <f aca="false">IF(OR(B82="",G82=""),"",IF(AND(R82&lt;&gt;"",R82=0),"closed",IF(L82="",EDATE(B82,12),IF(M82="",EDATE(B82,24),IF(N82="",EDATE(B82,36),IF(O82="",EDATE(B82,60),IF(P82="",EDATE(B82,120),"done")))))))</f>
        <v/>
      </c>
      <c r="R82" s="47"/>
      <c r="S82" s="12"/>
      <c r="T82" s="12"/>
      <c r="U82" s="43"/>
    </row>
    <row r="83" customFormat="false" ht="15" hidden="false" customHeight="true" outlineLevel="0" collapsed="false">
      <c r="A83" s="43"/>
      <c r="B83" s="81"/>
      <c r="C83" s="12"/>
      <c r="D83" s="47"/>
      <c r="E83" s="47"/>
      <c r="F83" s="12"/>
      <c r="G83" s="12"/>
      <c r="H83" s="47" t="str">
        <f aca="false">IF(G83="","",IFERROR(INDEX(Palette!$K$2:$K$151,MATCH(G83,Palette!$A$2:$A$151,0)),"NOT IN PALETTE"))</f>
        <v/>
      </c>
      <c r="I83" s="43"/>
      <c r="J83" s="47"/>
      <c r="K83" s="47"/>
      <c r="L83" s="47"/>
      <c r="M83" s="47"/>
      <c r="N83" s="47"/>
      <c r="O83" s="47"/>
      <c r="P83" s="47"/>
      <c r="Q83" s="37" t="str">
        <f aca="false">IF(OR(B83="",G83=""),"",IF(AND(R83&lt;&gt;"",R83=0),"closed",IF(L83="",EDATE(B83,12),IF(M83="",EDATE(B83,24),IF(N83="",EDATE(B83,36),IF(O83="",EDATE(B83,60),IF(P83="",EDATE(B83,120),"done")))))))</f>
        <v/>
      </c>
      <c r="R83" s="47"/>
      <c r="S83" s="12"/>
      <c r="T83" s="12"/>
      <c r="U83" s="43"/>
    </row>
    <row r="84" customFormat="false" ht="15" hidden="false" customHeight="true" outlineLevel="0" collapsed="false">
      <c r="A84" s="43"/>
      <c r="B84" s="81"/>
      <c r="C84" s="12"/>
      <c r="D84" s="47"/>
      <c r="E84" s="47"/>
      <c r="F84" s="12"/>
      <c r="G84" s="12"/>
      <c r="H84" s="47" t="str">
        <f aca="false">IF(G84="","",IFERROR(INDEX(Palette!$K$2:$K$151,MATCH(G84,Palette!$A$2:$A$151,0)),"NOT IN PALETTE"))</f>
        <v/>
      </c>
      <c r="I84" s="43"/>
      <c r="J84" s="47"/>
      <c r="K84" s="47"/>
      <c r="L84" s="47"/>
      <c r="M84" s="47"/>
      <c r="N84" s="47"/>
      <c r="O84" s="47"/>
      <c r="P84" s="47"/>
      <c r="Q84" s="37" t="str">
        <f aca="false">IF(OR(B84="",G84=""),"",IF(AND(R84&lt;&gt;"",R84=0),"closed",IF(L84="",EDATE(B84,12),IF(M84="",EDATE(B84,24),IF(N84="",EDATE(B84,36),IF(O84="",EDATE(B84,60),IF(P84="",EDATE(B84,120),"done")))))))</f>
        <v/>
      </c>
      <c r="R84" s="47"/>
      <c r="S84" s="12"/>
      <c r="T84" s="12"/>
      <c r="U84" s="43"/>
    </row>
    <row r="85" customFormat="false" ht="15" hidden="false" customHeight="true" outlineLevel="0" collapsed="false">
      <c r="A85" s="43"/>
      <c r="B85" s="81"/>
      <c r="C85" s="12"/>
      <c r="D85" s="47"/>
      <c r="E85" s="47"/>
      <c r="F85" s="12"/>
      <c r="G85" s="12"/>
      <c r="H85" s="47" t="str">
        <f aca="false">IF(G85="","",IFERROR(INDEX(Palette!$K$2:$K$151,MATCH(G85,Palette!$A$2:$A$151,0)),"NOT IN PALETTE"))</f>
        <v/>
      </c>
      <c r="I85" s="43"/>
      <c r="J85" s="47"/>
      <c r="K85" s="47"/>
      <c r="L85" s="47"/>
      <c r="M85" s="47"/>
      <c r="N85" s="47"/>
      <c r="O85" s="47"/>
      <c r="P85" s="47"/>
      <c r="Q85" s="37" t="str">
        <f aca="false">IF(OR(B85="",G85=""),"",IF(AND(R85&lt;&gt;"",R85=0),"closed",IF(L85="",EDATE(B85,12),IF(M85="",EDATE(B85,24),IF(N85="",EDATE(B85,36),IF(O85="",EDATE(B85,60),IF(P85="",EDATE(B85,120),"done")))))))</f>
        <v/>
      </c>
      <c r="R85" s="47"/>
      <c r="S85" s="12"/>
      <c r="T85" s="12"/>
      <c r="U85" s="43"/>
    </row>
    <row r="86" customFormat="false" ht="15" hidden="false" customHeight="true" outlineLevel="0" collapsed="false">
      <c r="A86" s="43"/>
      <c r="B86" s="81"/>
      <c r="C86" s="12"/>
      <c r="D86" s="47"/>
      <c r="E86" s="47"/>
      <c r="F86" s="12"/>
      <c r="G86" s="12"/>
      <c r="H86" s="47" t="str">
        <f aca="false">IF(G86="","",IFERROR(INDEX(Palette!$K$2:$K$151,MATCH(G86,Palette!$A$2:$A$151,0)),"NOT IN PALETTE"))</f>
        <v/>
      </c>
      <c r="I86" s="43"/>
      <c r="J86" s="47"/>
      <c r="K86" s="47"/>
      <c r="L86" s="47"/>
      <c r="M86" s="47"/>
      <c r="N86" s="47"/>
      <c r="O86" s="47"/>
      <c r="P86" s="47"/>
      <c r="Q86" s="37" t="str">
        <f aca="false">IF(OR(B86="",G86=""),"",IF(AND(R86&lt;&gt;"",R86=0),"closed",IF(L86="",EDATE(B86,12),IF(M86="",EDATE(B86,24),IF(N86="",EDATE(B86,36),IF(O86="",EDATE(B86,60),IF(P86="",EDATE(B86,120),"done")))))))</f>
        <v/>
      </c>
      <c r="R86" s="47"/>
      <c r="S86" s="12"/>
      <c r="T86" s="12"/>
      <c r="U86" s="43"/>
    </row>
    <row r="87" customFormat="false" ht="15" hidden="false" customHeight="true" outlineLevel="0" collapsed="false">
      <c r="A87" s="43"/>
      <c r="B87" s="81"/>
      <c r="C87" s="12"/>
      <c r="D87" s="47"/>
      <c r="E87" s="47"/>
      <c r="F87" s="12"/>
      <c r="G87" s="12"/>
      <c r="H87" s="47" t="str">
        <f aca="false">IF(G87="","",IFERROR(INDEX(Palette!$K$2:$K$151,MATCH(G87,Palette!$A$2:$A$151,0)),"NOT IN PALETTE"))</f>
        <v/>
      </c>
      <c r="I87" s="43"/>
      <c r="J87" s="47"/>
      <c r="K87" s="47"/>
      <c r="L87" s="47"/>
      <c r="M87" s="47"/>
      <c r="N87" s="47"/>
      <c r="O87" s="47"/>
      <c r="P87" s="47"/>
      <c r="Q87" s="37" t="str">
        <f aca="false">IF(OR(B87="",G87=""),"",IF(AND(R87&lt;&gt;"",R87=0),"closed",IF(L87="",EDATE(B87,12),IF(M87="",EDATE(B87,24),IF(N87="",EDATE(B87,36),IF(O87="",EDATE(B87,60),IF(P87="",EDATE(B87,120),"done")))))))</f>
        <v/>
      </c>
      <c r="R87" s="47"/>
      <c r="S87" s="12"/>
      <c r="T87" s="12"/>
      <c r="U87" s="43"/>
    </row>
    <row r="88" customFormat="false" ht="15" hidden="false" customHeight="true" outlineLevel="0" collapsed="false">
      <c r="A88" s="43"/>
      <c r="B88" s="81"/>
      <c r="C88" s="12"/>
      <c r="D88" s="47"/>
      <c r="E88" s="47"/>
      <c r="F88" s="12"/>
      <c r="G88" s="12"/>
      <c r="H88" s="47" t="str">
        <f aca="false">IF(G88="","",IFERROR(INDEX(Palette!$K$2:$K$151,MATCH(G88,Palette!$A$2:$A$151,0)),"NOT IN PALETTE"))</f>
        <v/>
      </c>
      <c r="I88" s="43"/>
      <c r="J88" s="47"/>
      <c r="K88" s="47"/>
      <c r="L88" s="47"/>
      <c r="M88" s="47"/>
      <c r="N88" s="47"/>
      <c r="O88" s="47"/>
      <c r="P88" s="47"/>
      <c r="Q88" s="37" t="str">
        <f aca="false">IF(OR(B88="",G88=""),"",IF(AND(R88&lt;&gt;"",R88=0),"closed",IF(L88="",EDATE(B88,12),IF(M88="",EDATE(B88,24),IF(N88="",EDATE(B88,36),IF(O88="",EDATE(B88,60),IF(P88="",EDATE(B88,120),"done")))))))</f>
        <v/>
      </c>
      <c r="R88" s="47"/>
      <c r="S88" s="12"/>
      <c r="T88" s="12"/>
      <c r="U88" s="43"/>
    </row>
    <row r="89" customFormat="false" ht="15" hidden="false" customHeight="true" outlineLevel="0" collapsed="false">
      <c r="A89" s="43"/>
      <c r="B89" s="81"/>
      <c r="C89" s="12"/>
      <c r="D89" s="47"/>
      <c r="E89" s="47"/>
      <c r="F89" s="12"/>
      <c r="G89" s="12"/>
      <c r="H89" s="47" t="str">
        <f aca="false">IF(G89="","",IFERROR(INDEX(Palette!$K$2:$K$151,MATCH(G89,Palette!$A$2:$A$151,0)),"NOT IN PALETTE"))</f>
        <v/>
      </c>
      <c r="I89" s="43"/>
      <c r="J89" s="47"/>
      <c r="K89" s="47"/>
      <c r="L89" s="47"/>
      <c r="M89" s="47"/>
      <c r="N89" s="47"/>
      <c r="O89" s="47"/>
      <c r="P89" s="47"/>
      <c r="Q89" s="37" t="str">
        <f aca="false">IF(OR(B89="",G89=""),"",IF(AND(R89&lt;&gt;"",R89=0),"closed",IF(L89="",EDATE(B89,12),IF(M89="",EDATE(B89,24),IF(N89="",EDATE(B89,36),IF(O89="",EDATE(B89,60),IF(P89="",EDATE(B89,120),"done")))))))</f>
        <v/>
      </c>
      <c r="R89" s="47"/>
      <c r="S89" s="12"/>
      <c r="T89" s="12"/>
      <c r="U89" s="43"/>
    </row>
    <row r="90" customFormat="false" ht="15" hidden="false" customHeight="true" outlineLevel="0" collapsed="false">
      <c r="A90" s="43"/>
      <c r="B90" s="81"/>
      <c r="C90" s="12"/>
      <c r="D90" s="47"/>
      <c r="E90" s="47"/>
      <c r="F90" s="12"/>
      <c r="G90" s="12"/>
      <c r="H90" s="47" t="str">
        <f aca="false">IF(G90="","",IFERROR(INDEX(Palette!$K$2:$K$151,MATCH(G90,Palette!$A$2:$A$151,0)),"NOT IN PALETTE"))</f>
        <v/>
      </c>
      <c r="I90" s="43"/>
      <c r="J90" s="47"/>
      <c r="K90" s="47"/>
      <c r="L90" s="47"/>
      <c r="M90" s="47"/>
      <c r="N90" s="47"/>
      <c r="O90" s="47"/>
      <c r="P90" s="47"/>
      <c r="Q90" s="37" t="str">
        <f aca="false">IF(OR(B90="",G90=""),"",IF(AND(R90&lt;&gt;"",R90=0),"closed",IF(L90="",EDATE(B90,12),IF(M90="",EDATE(B90,24),IF(N90="",EDATE(B90,36),IF(O90="",EDATE(B90,60),IF(P90="",EDATE(B90,120),"done")))))))</f>
        <v/>
      </c>
      <c r="R90" s="47"/>
      <c r="S90" s="12"/>
      <c r="T90" s="12"/>
      <c r="U90" s="43"/>
    </row>
    <row r="91" customFormat="false" ht="15" hidden="false" customHeight="true" outlineLevel="0" collapsed="false">
      <c r="A91" s="43"/>
      <c r="B91" s="81"/>
      <c r="C91" s="12"/>
      <c r="D91" s="47"/>
      <c r="E91" s="47"/>
      <c r="F91" s="12"/>
      <c r="G91" s="12"/>
      <c r="H91" s="47" t="str">
        <f aca="false">IF(G91="","",IFERROR(INDEX(Palette!$K$2:$K$151,MATCH(G91,Palette!$A$2:$A$151,0)),"NOT IN PALETTE"))</f>
        <v/>
      </c>
      <c r="I91" s="43"/>
      <c r="J91" s="47"/>
      <c r="K91" s="47"/>
      <c r="L91" s="47"/>
      <c r="M91" s="47"/>
      <c r="N91" s="47"/>
      <c r="O91" s="47"/>
      <c r="P91" s="47"/>
      <c r="Q91" s="37" t="str">
        <f aca="false">IF(OR(B91="",G91=""),"",IF(AND(R91&lt;&gt;"",R91=0),"closed",IF(L91="",EDATE(B91,12),IF(M91="",EDATE(B91,24),IF(N91="",EDATE(B91,36),IF(O91="",EDATE(B91,60),IF(P91="",EDATE(B91,120),"done")))))))</f>
        <v/>
      </c>
      <c r="R91" s="47"/>
      <c r="S91" s="12"/>
      <c r="T91" s="12"/>
      <c r="U91" s="43"/>
    </row>
    <row r="92" customFormat="false" ht="15" hidden="false" customHeight="true" outlineLevel="0" collapsed="false">
      <c r="A92" s="43"/>
      <c r="B92" s="81"/>
      <c r="C92" s="12"/>
      <c r="D92" s="47"/>
      <c r="E92" s="47"/>
      <c r="F92" s="12"/>
      <c r="G92" s="12"/>
      <c r="H92" s="47" t="str">
        <f aca="false">IF(G92="","",IFERROR(INDEX(Palette!$K$2:$K$151,MATCH(G92,Palette!$A$2:$A$151,0)),"NOT IN PALETTE"))</f>
        <v/>
      </c>
      <c r="I92" s="43"/>
      <c r="J92" s="47"/>
      <c r="K92" s="47"/>
      <c r="L92" s="47"/>
      <c r="M92" s="47"/>
      <c r="N92" s="47"/>
      <c r="O92" s="47"/>
      <c r="P92" s="47"/>
      <c r="Q92" s="37" t="str">
        <f aca="false">IF(OR(B92="",G92=""),"",IF(AND(R92&lt;&gt;"",R92=0),"closed",IF(L92="",EDATE(B92,12),IF(M92="",EDATE(B92,24),IF(N92="",EDATE(B92,36),IF(O92="",EDATE(B92,60),IF(P92="",EDATE(B92,120),"done")))))))</f>
        <v/>
      </c>
      <c r="R92" s="47"/>
      <c r="S92" s="12"/>
      <c r="T92" s="12"/>
      <c r="U92" s="43"/>
    </row>
    <row r="93" customFormat="false" ht="15" hidden="false" customHeight="true" outlineLevel="0" collapsed="false">
      <c r="A93" s="43"/>
      <c r="B93" s="81"/>
      <c r="C93" s="12"/>
      <c r="D93" s="47"/>
      <c r="E93" s="47"/>
      <c r="F93" s="12"/>
      <c r="G93" s="12"/>
      <c r="H93" s="47" t="str">
        <f aca="false">IF(G93="","",IFERROR(INDEX(Palette!$K$2:$K$151,MATCH(G93,Palette!$A$2:$A$151,0)),"NOT IN PALETTE"))</f>
        <v/>
      </c>
      <c r="I93" s="43"/>
      <c r="J93" s="47"/>
      <c r="K93" s="47"/>
      <c r="L93" s="47"/>
      <c r="M93" s="47"/>
      <c r="N93" s="47"/>
      <c r="O93" s="47"/>
      <c r="P93" s="47"/>
      <c r="Q93" s="37" t="str">
        <f aca="false">IF(OR(B93="",G93=""),"",IF(AND(R93&lt;&gt;"",R93=0),"closed",IF(L93="",EDATE(B93,12),IF(M93="",EDATE(B93,24),IF(N93="",EDATE(B93,36),IF(O93="",EDATE(B93,60),IF(P93="",EDATE(B93,120),"done")))))))</f>
        <v/>
      </c>
      <c r="R93" s="47"/>
      <c r="S93" s="12"/>
      <c r="T93" s="12"/>
      <c r="U93" s="43"/>
    </row>
    <row r="94" customFormat="false" ht="15" hidden="false" customHeight="true" outlineLevel="0" collapsed="false">
      <c r="A94" s="43"/>
      <c r="B94" s="81"/>
      <c r="C94" s="12"/>
      <c r="D94" s="47"/>
      <c r="E94" s="47"/>
      <c r="F94" s="12"/>
      <c r="G94" s="12"/>
      <c r="H94" s="47" t="str">
        <f aca="false">IF(G94="","",IFERROR(INDEX(Palette!$K$2:$K$151,MATCH(G94,Palette!$A$2:$A$151,0)),"NOT IN PALETTE"))</f>
        <v/>
      </c>
      <c r="I94" s="43"/>
      <c r="J94" s="47"/>
      <c r="K94" s="47"/>
      <c r="L94" s="47"/>
      <c r="M94" s="47"/>
      <c r="N94" s="47"/>
      <c r="O94" s="47"/>
      <c r="P94" s="47"/>
      <c r="Q94" s="37" t="str">
        <f aca="false">IF(OR(B94="",G94=""),"",IF(AND(R94&lt;&gt;"",R94=0),"closed",IF(L94="",EDATE(B94,12),IF(M94="",EDATE(B94,24),IF(N94="",EDATE(B94,36),IF(O94="",EDATE(B94,60),IF(P94="",EDATE(B94,120),"done")))))))</f>
        <v/>
      </c>
      <c r="R94" s="47"/>
      <c r="S94" s="12"/>
      <c r="T94" s="12"/>
      <c r="U94" s="43"/>
    </row>
    <row r="95" customFormat="false" ht="15" hidden="false" customHeight="true" outlineLevel="0" collapsed="false">
      <c r="A95" s="43"/>
      <c r="B95" s="81"/>
      <c r="C95" s="12"/>
      <c r="D95" s="47"/>
      <c r="E95" s="47"/>
      <c r="F95" s="12"/>
      <c r="G95" s="12"/>
      <c r="H95" s="47" t="str">
        <f aca="false">IF(G95="","",IFERROR(INDEX(Palette!$K$2:$K$151,MATCH(G95,Palette!$A$2:$A$151,0)),"NOT IN PALETTE"))</f>
        <v/>
      </c>
      <c r="I95" s="43"/>
      <c r="J95" s="47"/>
      <c r="K95" s="47"/>
      <c r="L95" s="47"/>
      <c r="M95" s="47"/>
      <c r="N95" s="47"/>
      <c r="O95" s="47"/>
      <c r="P95" s="47"/>
      <c r="Q95" s="37" t="str">
        <f aca="false">IF(OR(B95="",G95=""),"",IF(AND(R95&lt;&gt;"",R95=0),"closed",IF(L95="",EDATE(B95,12),IF(M95="",EDATE(B95,24),IF(N95="",EDATE(B95,36),IF(O95="",EDATE(B95,60),IF(P95="",EDATE(B95,120),"done")))))))</f>
        <v/>
      </c>
      <c r="R95" s="47"/>
      <c r="S95" s="12"/>
      <c r="T95" s="12"/>
      <c r="U95" s="43"/>
    </row>
    <row r="96" customFormat="false" ht="15" hidden="false" customHeight="true" outlineLevel="0" collapsed="false">
      <c r="A96" s="43"/>
      <c r="B96" s="81"/>
      <c r="C96" s="12"/>
      <c r="D96" s="47"/>
      <c r="E96" s="47"/>
      <c r="F96" s="12"/>
      <c r="G96" s="12"/>
      <c r="H96" s="47" t="str">
        <f aca="false">IF(G96="","",IFERROR(INDEX(Palette!$K$2:$K$151,MATCH(G96,Palette!$A$2:$A$151,0)),"NOT IN PALETTE"))</f>
        <v/>
      </c>
      <c r="I96" s="43"/>
      <c r="J96" s="47"/>
      <c r="K96" s="47"/>
      <c r="L96" s="47"/>
      <c r="M96" s="47"/>
      <c r="N96" s="47"/>
      <c r="O96" s="47"/>
      <c r="P96" s="47"/>
      <c r="Q96" s="37" t="str">
        <f aca="false">IF(OR(B96="",G96=""),"",IF(AND(R96&lt;&gt;"",R96=0),"closed",IF(L96="",EDATE(B96,12),IF(M96="",EDATE(B96,24),IF(N96="",EDATE(B96,36),IF(O96="",EDATE(B96,60),IF(P96="",EDATE(B96,120),"done")))))))</f>
        <v/>
      </c>
      <c r="R96" s="47"/>
      <c r="S96" s="12"/>
      <c r="T96" s="12"/>
      <c r="U96" s="43"/>
    </row>
    <row r="97" customFormat="false" ht="15" hidden="false" customHeight="true" outlineLevel="0" collapsed="false">
      <c r="A97" s="43"/>
      <c r="B97" s="81"/>
      <c r="C97" s="12"/>
      <c r="D97" s="47"/>
      <c r="E97" s="47"/>
      <c r="F97" s="12"/>
      <c r="G97" s="12"/>
      <c r="H97" s="47" t="str">
        <f aca="false">IF(G97="","",IFERROR(INDEX(Palette!$K$2:$K$151,MATCH(G97,Palette!$A$2:$A$151,0)),"NOT IN PALETTE"))</f>
        <v/>
      </c>
      <c r="I97" s="43"/>
      <c r="J97" s="47"/>
      <c r="K97" s="47"/>
      <c r="L97" s="47"/>
      <c r="M97" s="47"/>
      <c r="N97" s="47"/>
      <c r="O97" s="47"/>
      <c r="P97" s="47"/>
      <c r="Q97" s="37" t="str">
        <f aca="false">IF(OR(B97="",G97=""),"",IF(AND(R97&lt;&gt;"",R97=0),"closed",IF(L97="",EDATE(B97,12),IF(M97="",EDATE(B97,24),IF(N97="",EDATE(B97,36),IF(O97="",EDATE(B97,60),IF(P97="",EDATE(B97,120),"done")))))))</f>
        <v/>
      </c>
      <c r="R97" s="47"/>
      <c r="S97" s="12"/>
      <c r="T97" s="12"/>
      <c r="U97" s="43"/>
    </row>
    <row r="98" customFormat="false" ht="15" hidden="false" customHeight="true" outlineLevel="0" collapsed="false">
      <c r="A98" s="43"/>
      <c r="B98" s="81"/>
      <c r="C98" s="12"/>
      <c r="D98" s="47"/>
      <c r="E98" s="47"/>
      <c r="F98" s="12"/>
      <c r="G98" s="12"/>
      <c r="H98" s="47" t="str">
        <f aca="false">IF(G98="","",IFERROR(INDEX(Palette!$K$2:$K$151,MATCH(G98,Palette!$A$2:$A$151,0)),"NOT IN PALETTE"))</f>
        <v/>
      </c>
      <c r="I98" s="43"/>
      <c r="J98" s="47"/>
      <c r="K98" s="47"/>
      <c r="L98" s="47"/>
      <c r="M98" s="47"/>
      <c r="N98" s="47"/>
      <c r="O98" s="47"/>
      <c r="P98" s="47"/>
      <c r="Q98" s="37" t="str">
        <f aca="false">IF(OR(B98="",G98=""),"",IF(AND(R98&lt;&gt;"",R98=0),"closed",IF(L98="",EDATE(B98,12),IF(M98="",EDATE(B98,24),IF(N98="",EDATE(B98,36),IF(O98="",EDATE(B98,60),IF(P98="",EDATE(B98,120),"done")))))))</f>
        <v/>
      </c>
      <c r="R98" s="47"/>
      <c r="S98" s="12"/>
      <c r="T98" s="12"/>
      <c r="U98" s="43"/>
    </row>
    <row r="99" customFormat="false" ht="15" hidden="false" customHeight="true" outlineLevel="0" collapsed="false">
      <c r="A99" s="43"/>
      <c r="B99" s="81"/>
      <c r="C99" s="12"/>
      <c r="D99" s="47"/>
      <c r="E99" s="47"/>
      <c r="F99" s="12"/>
      <c r="G99" s="12"/>
      <c r="H99" s="47" t="str">
        <f aca="false">IF(G99="","",IFERROR(INDEX(Palette!$K$2:$K$151,MATCH(G99,Palette!$A$2:$A$151,0)),"NOT IN PALETTE"))</f>
        <v/>
      </c>
      <c r="I99" s="43"/>
      <c r="J99" s="47"/>
      <c r="K99" s="47"/>
      <c r="L99" s="47"/>
      <c r="M99" s="47"/>
      <c r="N99" s="47"/>
      <c r="O99" s="47"/>
      <c r="P99" s="47"/>
      <c r="Q99" s="37" t="str">
        <f aca="false">IF(OR(B99="",G99=""),"",IF(AND(R99&lt;&gt;"",R99=0),"closed",IF(L99="",EDATE(B99,12),IF(M99="",EDATE(B99,24),IF(N99="",EDATE(B99,36),IF(O99="",EDATE(B99,60),IF(P99="",EDATE(B99,120),"done")))))))</f>
        <v/>
      </c>
      <c r="R99" s="47"/>
      <c r="S99" s="12"/>
      <c r="T99" s="12"/>
      <c r="U99" s="43"/>
    </row>
    <row r="100" customFormat="false" ht="15" hidden="false" customHeight="true" outlineLevel="0" collapsed="false">
      <c r="A100" s="43"/>
      <c r="B100" s="81"/>
      <c r="C100" s="12"/>
      <c r="D100" s="47"/>
      <c r="E100" s="47"/>
      <c r="F100" s="12"/>
      <c r="G100" s="12"/>
      <c r="H100" s="47" t="str">
        <f aca="false">IF(G100="","",IFERROR(INDEX(Palette!$K$2:$K$151,MATCH(G100,Palette!$A$2:$A$151,0)),"NOT IN PALETTE"))</f>
        <v/>
      </c>
      <c r="I100" s="43"/>
      <c r="J100" s="47"/>
      <c r="K100" s="47"/>
      <c r="L100" s="47"/>
      <c r="M100" s="47"/>
      <c r="N100" s="47"/>
      <c r="O100" s="47"/>
      <c r="P100" s="47"/>
      <c r="Q100" s="37" t="str">
        <f aca="false">IF(OR(B100="",G100=""),"",IF(AND(R100&lt;&gt;"",R100=0),"closed",IF(L100="",EDATE(B100,12),IF(M100="",EDATE(B100,24),IF(N100="",EDATE(B100,36),IF(O100="",EDATE(B100,60),IF(P100="",EDATE(B100,120),"done")))))))</f>
        <v/>
      </c>
      <c r="R100" s="47"/>
      <c r="S100" s="12"/>
      <c r="T100" s="12"/>
      <c r="U100" s="43"/>
    </row>
    <row r="101" customFormat="false" ht="15" hidden="false" customHeight="true" outlineLevel="0" collapsed="false">
      <c r="A101" s="43"/>
      <c r="B101" s="81"/>
      <c r="C101" s="12"/>
      <c r="D101" s="47"/>
      <c r="E101" s="47"/>
      <c r="F101" s="12"/>
      <c r="G101" s="12"/>
      <c r="H101" s="47" t="str">
        <f aca="false">IF(G101="","",IFERROR(INDEX(Palette!$K$2:$K$151,MATCH(G101,Palette!$A$2:$A$151,0)),"NOT IN PALETTE"))</f>
        <v/>
      </c>
      <c r="I101" s="43"/>
      <c r="J101" s="47"/>
      <c r="K101" s="47"/>
      <c r="L101" s="47"/>
      <c r="M101" s="47"/>
      <c r="N101" s="47"/>
      <c r="O101" s="47"/>
      <c r="P101" s="47"/>
      <c r="Q101" s="37" t="str">
        <f aca="false">IF(OR(B101="",G101=""),"",IF(AND(R101&lt;&gt;"",R101=0),"closed",IF(L101="",EDATE(B101,12),IF(M101="",EDATE(B101,24),IF(N101="",EDATE(B101,36),IF(O101="",EDATE(B101,60),IF(P101="",EDATE(B101,120),"done")))))))</f>
        <v/>
      </c>
      <c r="R101" s="47"/>
      <c r="S101" s="12"/>
      <c r="T101" s="12"/>
      <c r="U101" s="43"/>
    </row>
    <row r="102" customFormat="false" ht="15" hidden="false" customHeight="true" outlineLevel="0" collapsed="false">
      <c r="A102" s="43"/>
      <c r="B102" s="81"/>
      <c r="C102" s="12"/>
      <c r="D102" s="47"/>
      <c r="E102" s="47"/>
      <c r="F102" s="12"/>
      <c r="G102" s="12"/>
      <c r="H102" s="47" t="str">
        <f aca="false">IF(G102="","",IFERROR(INDEX(Palette!$K$2:$K$151,MATCH(G102,Palette!$A$2:$A$151,0)),"NOT IN PALETTE"))</f>
        <v/>
      </c>
      <c r="I102" s="43"/>
      <c r="J102" s="47"/>
      <c r="K102" s="47"/>
      <c r="L102" s="47"/>
      <c r="M102" s="47"/>
      <c r="N102" s="47"/>
      <c r="O102" s="47"/>
      <c r="P102" s="47"/>
      <c r="Q102" s="37" t="str">
        <f aca="false">IF(OR(B102="",G102=""),"",IF(AND(R102&lt;&gt;"",R102=0),"closed",IF(L102="",EDATE(B102,12),IF(M102="",EDATE(B102,24),IF(N102="",EDATE(B102,36),IF(O102="",EDATE(B102,60),IF(P102="",EDATE(B102,120),"done")))))))</f>
        <v/>
      </c>
      <c r="R102" s="47"/>
      <c r="S102" s="12"/>
      <c r="T102" s="12"/>
      <c r="U102" s="43"/>
    </row>
    <row r="103" customFormat="false" ht="15" hidden="false" customHeight="true" outlineLevel="0" collapsed="false">
      <c r="A103" s="43"/>
      <c r="B103" s="81"/>
      <c r="C103" s="12"/>
      <c r="D103" s="47"/>
      <c r="E103" s="47"/>
      <c r="F103" s="12"/>
      <c r="G103" s="12"/>
      <c r="H103" s="47" t="str">
        <f aca="false">IF(G103="","",IFERROR(INDEX(Palette!$K$2:$K$151,MATCH(G103,Palette!$A$2:$A$151,0)),"NOT IN PALETTE"))</f>
        <v/>
      </c>
      <c r="I103" s="43"/>
      <c r="J103" s="47"/>
      <c r="K103" s="47"/>
      <c r="L103" s="47"/>
      <c r="M103" s="47"/>
      <c r="N103" s="47"/>
      <c r="O103" s="47"/>
      <c r="P103" s="47"/>
      <c r="Q103" s="37" t="str">
        <f aca="false">IF(OR(B103="",G103=""),"",IF(AND(R103&lt;&gt;"",R103=0),"closed",IF(L103="",EDATE(B103,12),IF(M103="",EDATE(B103,24),IF(N103="",EDATE(B103,36),IF(O103="",EDATE(B103,60),IF(P103="",EDATE(B103,120),"done")))))))</f>
        <v/>
      </c>
      <c r="R103" s="47"/>
      <c r="S103" s="12"/>
      <c r="T103" s="12"/>
      <c r="U103" s="43"/>
    </row>
    <row r="104" customFormat="false" ht="15" hidden="false" customHeight="true" outlineLevel="0" collapsed="false">
      <c r="A104" s="43"/>
      <c r="B104" s="81"/>
      <c r="C104" s="12"/>
      <c r="D104" s="47"/>
      <c r="E104" s="47"/>
      <c r="F104" s="12"/>
      <c r="G104" s="12"/>
      <c r="H104" s="47" t="str">
        <f aca="false">IF(G104="","",IFERROR(INDEX(Palette!$K$2:$K$151,MATCH(G104,Palette!$A$2:$A$151,0)),"NOT IN PALETTE"))</f>
        <v/>
      </c>
      <c r="I104" s="43"/>
      <c r="J104" s="47"/>
      <c r="K104" s="47"/>
      <c r="L104" s="47"/>
      <c r="M104" s="47"/>
      <c r="N104" s="47"/>
      <c r="O104" s="47"/>
      <c r="P104" s="47"/>
      <c r="Q104" s="37" t="str">
        <f aca="false">IF(OR(B104="",G104=""),"",IF(AND(R104&lt;&gt;"",R104=0),"closed",IF(L104="",EDATE(B104,12),IF(M104="",EDATE(B104,24),IF(N104="",EDATE(B104,36),IF(O104="",EDATE(B104,60),IF(P104="",EDATE(B104,120),"done")))))))</f>
        <v/>
      </c>
      <c r="R104" s="47"/>
      <c r="S104" s="12"/>
      <c r="T104" s="12"/>
      <c r="U104" s="43"/>
    </row>
    <row r="105" customFormat="false" ht="15" hidden="false" customHeight="true" outlineLevel="0" collapsed="false">
      <c r="A105" s="43"/>
      <c r="B105" s="81"/>
      <c r="C105" s="12"/>
      <c r="D105" s="47"/>
      <c r="E105" s="47"/>
      <c r="F105" s="12"/>
      <c r="G105" s="12"/>
      <c r="H105" s="47" t="str">
        <f aca="false">IF(G105="","",IFERROR(INDEX(Palette!$K$2:$K$151,MATCH(G105,Palette!$A$2:$A$151,0)),"NOT IN PALETTE"))</f>
        <v/>
      </c>
      <c r="I105" s="43"/>
      <c r="J105" s="47"/>
      <c r="K105" s="47"/>
      <c r="L105" s="47"/>
      <c r="M105" s="47"/>
      <c r="N105" s="47"/>
      <c r="O105" s="47"/>
      <c r="P105" s="47"/>
      <c r="Q105" s="37" t="str">
        <f aca="false">IF(OR(B105="",G105=""),"",IF(AND(R105&lt;&gt;"",R105=0),"closed",IF(L105="",EDATE(B105,12),IF(M105="",EDATE(B105,24),IF(N105="",EDATE(B105,36),IF(O105="",EDATE(B105,60),IF(P105="",EDATE(B105,120),"done")))))))</f>
        <v/>
      </c>
      <c r="R105" s="47"/>
      <c r="S105" s="12"/>
      <c r="T105" s="12"/>
      <c r="U105" s="43"/>
    </row>
    <row r="106" customFormat="false" ht="15" hidden="false" customHeight="true" outlineLevel="0" collapsed="false">
      <c r="A106" s="43"/>
      <c r="B106" s="81"/>
      <c r="C106" s="12"/>
      <c r="D106" s="47"/>
      <c r="E106" s="47"/>
      <c r="F106" s="12"/>
      <c r="G106" s="12"/>
      <c r="H106" s="47" t="str">
        <f aca="false">IF(G106="","",IFERROR(INDEX(Palette!$K$2:$K$151,MATCH(G106,Palette!$A$2:$A$151,0)),"NOT IN PALETTE"))</f>
        <v/>
      </c>
      <c r="I106" s="43"/>
      <c r="J106" s="47"/>
      <c r="K106" s="47"/>
      <c r="L106" s="47"/>
      <c r="M106" s="47"/>
      <c r="N106" s="47"/>
      <c r="O106" s="47"/>
      <c r="P106" s="47"/>
      <c r="Q106" s="37" t="str">
        <f aca="false">IF(OR(B106="",G106=""),"",IF(AND(R106&lt;&gt;"",R106=0),"closed",IF(L106="",EDATE(B106,12),IF(M106="",EDATE(B106,24),IF(N106="",EDATE(B106,36),IF(O106="",EDATE(B106,60),IF(P106="",EDATE(B106,120),"done")))))))</f>
        <v/>
      </c>
      <c r="R106" s="47"/>
      <c r="S106" s="12"/>
      <c r="T106" s="12"/>
      <c r="U106" s="43"/>
    </row>
    <row r="107" customFormat="false" ht="15" hidden="false" customHeight="true" outlineLevel="0" collapsed="false">
      <c r="A107" s="43"/>
      <c r="B107" s="81"/>
      <c r="C107" s="12"/>
      <c r="D107" s="47"/>
      <c r="E107" s="47"/>
      <c r="F107" s="12"/>
      <c r="G107" s="12"/>
      <c r="H107" s="47" t="str">
        <f aca="false">IF(G107="","",IFERROR(INDEX(Palette!$K$2:$K$151,MATCH(G107,Palette!$A$2:$A$151,0)),"NOT IN PALETTE"))</f>
        <v/>
      </c>
      <c r="I107" s="43"/>
      <c r="J107" s="47"/>
      <c r="K107" s="47"/>
      <c r="L107" s="47"/>
      <c r="M107" s="47"/>
      <c r="N107" s="47"/>
      <c r="O107" s="47"/>
      <c r="P107" s="47"/>
      <c r="Q107" s="37" t="str">
        <f aca="false">IF(OR(B107="",G107=""),"",IF(AND(R107&lt;&gt;"",R107=0),"closed",IF(L107="",EDATE(B107,12),IF(M107="",EDATE(B107,24),IF(N107="",EDATE(B107,36),IF(O107="",EDATE(B107,60),IF(P107="",EDATE(B107,120),"done")))))))</f>
        <v/>
      </c>
      <c r="R107" s="47"/>
      <c r="S107" s="12"/>
      <c r="T107" s="12"/>
      <c r="U107" s="43"/>
    </row>
    <row r="108" customFormat="false" ht="15" hidden="false" customHeight="true" outlineLevel="0" collapsed="false">
      <c r="A108" s="43"/>
      <c r="B108" s="81"/>
      <c r="C108" s="12"/>
      <c r="D108" s="47"/>
      <c r="E108" s="47"/>
      <c r="F108" s="12"/>
      <c r="G108" s="12"/>
      <c r="H108" s="47" t="str">
        <f aca="false">IF(G108="","",IFERROR(INDEX(Palette!$K$2:$K$151,MATCH(G108,Palette!$A$2:$A$151,0)),"NOT IN PALETTE"))</f>
        <v/>
      </c>
      <c r="I108" s="43"/>
      <c r="J108" s="47"/>
      <c r="K108" s="47"/>
      <c r="L108" s="47"/>
      <c r="M108" s="47"/>
      <c r="N108" s="47"/>
      <c r="O108" s="47"/>
      <c r="P108" s="47"/>
      <c r="Q108" s="37" t="str">
        <f aca="false">IF(OR(B108="",G108=""),"",IF(AND(R108&lt;&gt;"",R108=0),"closed",IF(L108="",EDATE(B108,12),IF(M108="",EDATE(B108,24),IF(N108="",EDATE(B108,36),IF(O108="",EDATE(B108,60),IF(P108="",EDATE(B108,120),"done")))))))</f>
        <v/>
      </c>
      <c r="R108" s="47"/>
      <c r="S108" s="12"/>
      <c r="T108" s="12"/>
      <c r="U108" s="43"/>
    </row>
    <row r="109" customFormat="false" ht="15" hidden="false" customHeight="true" outlineLevel="0" collapsed="false">
      <c r="A109" s="43"/>
      <c r="B109" s="81"/>
      <c r="C109" s="12"/>
      <c r="D109" s="47"/>
      <c r="E109" s="47"/>
      <c r="F109" s="12"/>
      <c r="G109" s="12"/>
      <c r="H109" s="47" t="str">
        <f aca="false">IF(G109="","",IFERROR(INDEX(Palette!$K$2:$K$151,MATCH(G109,Palette!$A$2:$A$151,0)),"NOT IN PALETTE"))</f>
        <v/>
      </c>
      <c r="I109" s="43"/>
      <c r="J109" s="47"/>
      <c r="K109" s="47"/>
      <c r="L109" s="47"/>
      <c r="M109" s="47"/>
      <c r="N109" s="47"/>
      <c r="O109" s="47"/>
      <c r="P109" s="47"/>
      <c r="Q109" s="37" t="str">
        <f aca="false">IF(OR(B109="",G109=""),"",IF(AND(R109&lt;&gt;"",R109=0),"closed",IF(L109="",EDATE(B109,12),IF(M109="",EDATE(B109,24),IF(N109="",EDATE(B109,36),IF(O109="",EDATE(B109,60),IF(P109="",EDATE(B109,120),"done")))))))</f>
        <v/>
      </c>
      <c r="R109" s="47"/>
      <c r="S109" s="12"/>
      <c r="T109" s="12"/>
      <c r="U109" s="43"/>
    </row>
    <row r="110" customFormat="false" ht="15" hidden="false" customHeight="true" outlineLevel="0" collapsed="false">
      <c r="A110" s="43"/>
      <c r="B110" s="81"/>
      <c r="C110" s="12"/>
      <c r="D110" s="47"/>
      <c r="E110" s="47"/>
      <c r="F110" s="12"/>
      <c r="G110" s="12"/>
      <c r="H110" s="47" t="str">
        <f aca="false">IF(G110="","",IFERROR(INDEX(Palette!$K$2:$K$151,MATCH(G110,Palette!$A$2:$A$151,0)),"NOT IN PALETTE"))</f>
        <v/>
      </c>
      <c r="I110" s="43"/>
      <c r="J110" s="47"/>
      <c r="K110" s="47"/>
      <c r="L110" s="47"/>
      <c r="M110" s="47"/>
      <c r="N110" s="47"/>
      <c r="O110" s="47"/>
      <c r="P110" s="47"/>
      <c r="Q110" s="37" t="str">
        <f aca="false">IF(OR(B110="",G110=""),"",IF(AND(R110&lt;&gt;"",R110=0),"closed",IF(L110="",EDATE(B110,12),IF(M110="",EDATE(B110,24),IF(N110="",EDATE(B110,36),IF(O110="",EDATE(B110,60),IF(P110="",EDATE(B110,120),"done")))))))</f>
        <v/>
      </c>
      <c r="R110" s="47"/>
      <c r="S110" s="12"/>
      <c r="T110" s="12"/>
      <c r="U110" s="43"/>
    </row>
    <row r="111" customFormat="false" ht="15" hidden="false" customHeight="true" outlineLevel="0" collapsed="false">
      <c r="A111" s="43"/>
      <c r="B111" s="81"/>
      <c r="C111" s="12"/>
      <c r="D111" s="47"/>
      <c r="E111" s="47"/>
      <c r="F111" s="12"/>
      <c r="G111" s="12"/>
      <c r="H111" s="47" t="str">
        <f aca="false">IF(G111="","",IFERROR(INDEX(Palette!$K$2:$K$151,MATCH(G111,Palette!$A$2:$A$151,0)),"NOT IN PALETTE"))</f>
        <v/>
      </c>
      <c r="I111" s="43"/>
      <c r="J111" s="47"/>
      <c r="K111" s="47"/>
      <c r="L111" s="47"/>
      <c r="M111" s="47"/>
      <c r="N111" s="47"/>
      <c r="O111" s="47"/>
      <c r="P111" s="47"/>
      <c r="Q111" s="37" t="str">
        <f aca="false">IF(OR(B111="",G111=""),"",IF(AND(R111&lt;&gt;"",R111=0),"closed",IF(L111="",EDATE(B111,12),IF(M111="",EDATE(B111,24),IF(N111="",EDATE(B111,36),IF(O111="",EDATE(B111,60),IF(P111="",EDATE(B111,120),"done")))))))</f>
        <v/>
      </c>
      <c r="R111" s="47"/>
      <c r="S111" s="12"/>
      <c r="T111" s="12"/>
      <c r="U111" s="43"/>
    </row>
    <row r="112" customFormat="false" ht="15" hidden="false" customHeight="true" outlineLevel="0" collapsed="false">
      <c r="A112" s="43"/>
      <c r="B112" s="81"/>
      <c r="C112" s="12"/>
      <c r="D112" s="47"/>
      <c r="E112" s="47"/>
      <c r="F112" s="12"/>
      <c r="G112" s="12"/>
      <c r="H112" s="47" t="str">
        <f aca="false">IF(G112="","",IFERROR(INDEX(Palette!$K$2:$K$151,MATCH(G112,Palette!$A$2:$A$151,0)),"NOT IN PALETTE"))</f>
        <v/>
      </c>
      <c r="I112" s="43"/>
      <c r="J112" s="47"/>
      <c r="K112" s="47"/>
      <c r="L112" s="47"/>
      <c r="M112" s="47"/>
      <c r="N112" s="47"/>
      <c r="O112" s="47"/>
      <c r="P112" s="47"/>
      <c r="Q112" s="37" t="str">
        <f aca="false">IF(OR(B112="",G112=""),"",IF(AND(R112&lt;&gt;"",R112=0),"closed",IF(L112="",EDATE(B112,12),IF(M112="",EDATE(B112,24),IF(N112="",EDATE(B112,36),IF(O112="",EDATE(B112,60),IF(P112="",EDATE(B112,120),"done")))))))</f>
        <v/>
      </c>
      <c r="R112" s="47"/>
      <c r="S112" s="12"/>
      <c r="T112" s="12"/>
      <c r="U112" s="43"/>
    </row>
    <row r="113" customFormat="false" ht="15" hidden="false" customHeight="true" outlineLevel="0" collapsed="false">
      <c r="A113" s="43"/>
      <c r="B113" s="81"/>
      <c r="C113" s="12"/>
      <c r="D113" s="47"/>
      <c r="E113" s="47"/>
      <c r="F113" s="12"/>
      <c r="G113" s="12"/>
      <c r="H113" s="47" t="str">
        <f aca="false">IF(G113="","",IFERROR(INDEX(Palette!$K$2:$K$151,MATCH(G113,Palette!$A$2:$A$151,0)),"NOT IN PALETTE"))</f>
        <v/>
      </c>
      <c r="I113" s="43"/>
      <c r="J113" s="47"/>
      <c r="K113" s="47"/>
      <c r="L113" s="47"/>
      <c r="M113" s="47"/>
      <c r="N113" s="47"/>
      <c r="O113" s="47"/>
      <c r="P113" s="47"/>
      <c r="Q113" s="37" t="str">
        <f aca="false">IF(OR(B113="",G113=""),"",IF(AND(R113&lt;&gt;"",R113=0),"closed",IF(L113="",EDATE(B113,12),IF(M113="",EDATE(B113,24),IF(N113="",EDATE(B113,36),IF(O113="",EDATE(B113,60),IF(P113="",EDATE(B113,120),"done")))))))</f>
        <v/>
      </c>
      <c r="R113" s="47"/>
      <c r="S113" s="12"/>
      <c r="T113" s="12"/>
      <c r="U113" s="43"/>
    </row>
    <row r="114" customFormat="false" ht="15" hidden="false" customHeight="true" outlineLevel="0" collapsed="false">
      <c r="A114" s="43"/>
      <c r="B114" s="81"/>
      <c r="C114" s="12"/>
      <c r="D114" s="47"/>
      <c r="E114" s="47"/>
      <c r="F114" s="12"/>
      <c r="G114" s="12"/>
      <c r="H114" s="47" t="str">
        <f aca="false">IF(G114="","",IFERROR(INDEX(Palette!$K$2:$K$151,MATCH(G114,Palette!$A$2:$A$151,0)),"NOT IN PALETTE"))</f>
        <v/>
      </c>
      <c r="I114" s="43"/>
      <c r="J114" s="47"/>
      <c r="K114" s="47"/>
      <c r="L114" s="47"/>
      <c r="M114" s="47"/>
      <c r="N114" s="47"/>
      <c r="O114" s="47"/>
      <c r="P114" s="47"/>
      <c r="Q114" s="37" t="str">
        <f aca="false">IF(OR(B114="",G114=""),"",IF(AND(R114&lt;&gt;"",R114=0),"closed",IF(L114="",EDATE(B114,12),IF(M114="",EDATE(B114,24),IF(N114="",EDATE(B114,36),IF(O114="",EDATE(B114,60),IF(P114="",EDATE(B114,120),"done")))))))</f>
        <v/>
      </c>
      <c r="R114" s="47"/>
      <c r="S114" s="12"/>
      <c r="T114" s="12"/>
      <c r="U114" s="43"/>
    </row>
    <row r="115" customFormat="false" ht="15" hidden="false" customHeight="true" outlineLevel="0" collapsed="false">
      <c r="A115" s="43"/>
      <c r="B115" s="81"/>
      <c r="C115" s="12"/>
      <c r="D115" s="47"/>
      <c r="E115" s="47"/>
      <c r="F115" s="12"/>
      <c r="G115" s="12"/>
      <c r="H115" s="47" t="str">
        <f aca="false">IF(G115="","",IFERROR(INDEX(Palette!$K$2:$K$151,MATCH(G115,Palette!$A$2:$A$151,0)),"NOT IN PALETTE"))</f>
        <v/>
      </c>
      <c r="I115" s="43"/>
      <c r="J115" s="47"/>
      <c r="K115" s="47"/>
      <c r="L115" s="47"/>
      <c r="M115" s="47"/>
      <c r="N115" s="47"/>
      <c r="O115" s="47"/>
      <c r="P115" s="47"/>
      <c r="Q115" s="37" t="str">
        <f aca="false">IF(OR(B115="",G115=""),"",IF(AND(R115&lt;&gt;"",R115=0),"closed",IF(L115="",EDATE(B115,12),IF(M115="",EDATE(B115,24),IF(N115="",EDATE(B115,36),IF(O115="",EDATE(B115,60),IF(P115="",EDATE(B115,120),"done")))))))</f>
        <v/>
      </c>
      <c r="R115" s="47"/>
      <c r="S115" s="12"/>
      <c r="T115" s="12"/>
      <c r="U115" s="43"/>
    </row>
    <row r="116" customFormat="false" ht="15" hidden="false" customHeight="true" outlineLevel="0" collapsed="false">
      <c r="A116" s="43"/>
      <c r="B116" s="81"/>
      <c r="C116" s="12"/>
      <c r="D116" s="47"/>
      <c r="E116" s="47"/>
      <c r="F116" s="12"/>
      <c r="G116" s="12"/>
      <c r="H116" s="47" t="str">
        <f aca="false">IF(G116="","",IFERROR(INDEX(Palette!$K$2:$K$151,MATCH(G116,Palette!$A$2:$A$151,0)),"NOT IN PALETTE"))</f>
        <v/>
      </c>
      <c r="I116" s="43"/>
      <c r="J116" s="47"/>
      <c r="K116" s="47"/>
      <c r="L116" s="47"/>
      <c r="M116" s="47"/>
      <c r="N116" s="47"/>
      <c r="O116" s="47"/>
      <c r="P116" s="47"/>
      <c r="Q116" s="37" t="str">
        <f aca="false">IF(OR(B116="",G116=""),"",IF(AND(R116&lt;&gt;"",R116=0),"closed",IF(L116="",EDATE(B116,12),IF(M116="",EDATE(B116,24),IF(N116="",EDATE(B116,36),IF(O116="",EDATE(B116,60),IF(P116="",EDATE(B116,120),"done")))))))</f>
        <v/>
      </c>
      <c r="R116" s="47"/>
      <c r="S116" s="12"/>
      <c r="T116" s="12"/>
      <c r="U116" s="43"/>
    </row>
    <row r="117" customFormat="false" ht="15" hidden="false" customHeight="true" outlineLevel="0" collapsed="false">
      <c r="A117" s="43"/>
      <c r="B117" s="81"/>
      <c r="C117" s="12"/>
      <c r="D117" s="47"/>
      <c r="E117" s="47"/>
      <c r="F117" s="12"/>
      <c r="G117" s="12"/>
      <c r="H117" s="47" t="str">
        <f aca="false">IF(G117="","",IFERROR(INDEX(Palette!$K$2:$K$151,MATCH(G117,Palette!$A$2:$A$151,0)),"NOT IN PALETTE"))</f>
        <v/>
      </c>
      <c r="I117" s="43"/>
      <c r="J117" s="47"/>
      <c r="K117" s="47"/>
      <c r="L117" s="47"/>
      <c r="M117" s="47"/>
      <c r="N117" s="47"/>
      <c r="O117" s="47"/>
      <c r="P117" s="47"/>
      <c r="Q117" s="37" t="str">
        <f aca="false">IF(OR(B117="",G117=""),"",IF(AND(R117&lt;&gt;"",R117=0),"closed",IF(L117="",EDATE(B117,12),IF(M117="",EDATE(B117,24),IF(N117="",EDATE(B117,36),IF(O117="",EDATE(B117,60),IF(P117="",EDATE(B117,120),"done")))))))</f>
        <v/>
      </c>
      <c r="R117" s="47"/>
      <c r="S117" s="12"/>
      <c r="T117" s="12"/>
      <c r="U117" s="43"/>
    </row>
    <row r="118" customFormat="false" ht="15" hidden="false" customHeight="true" outlineLevel="0" collapsed="false">
      <c r="A118" s="43"/>
      <c r="B118" s="81"/>
      <c r="C118" s="12"/>
      <c r="D118" s="47"/>
      <c r="E118" s="47"/>
      <c r="F118" s="12"/>
      <c r="G118" s="12"/>
      <c r="H118" s="47" t="str">
        <f aca="false">IF(G118="","",IFERROR(INDEX(Palette!$K$2:$K$151,MATCH(G118,Palette!$A$2:$A$151,0)),"NOT IN PALETTE"))</f>
        <v/>
      </c>
      <c r="I118" s="43"/>
      <c r="J118" s="47"/>
      <c r="K118" s="47"/>
      <c r="L118" s="47"/>
      <c r="M118" s="47"/>
      <c r="N118" s="47"/>
      <c r="O118" s="47"/>
      <c r="P118" s="47"/>
      <c r="Q118" s="37" t="str">
        <f aca="false">IF(OR(B118="",G118=""),"",IF(AND(R118&lt;&gt;"",R118=0),"closed",IF(L118="",EDATE(B118,12),IF(M118="",EDATE(B118,24),IF(N118="",EDATE(B118,36),IF(O118="",EDATE(B118,60),IF(P118="",EDATE(B118,120),"done")))))))</f>
        <v/>
      </c>
      <c r="R118" s="47"/>
      <c r="S118" s="12"/>
      <c r="T118" s="12"/>
      <c r="U118" s="43"/>
    </row>
    <row r="119" customFormat="false" ht="15" hidden="false" customHeight="true" outlineLevel="0" collapsed="false">
      <c r="A119" s="43"/>
      <c r="B119" s="81"/>
      <c r="C119" s="12"/>
      <c r="D119" s="47"/>
      <c r="E119" s="47"/>
      <c r="F119" s="12"/>
      <c r="G119" s="12"/>
      <c r="H119" s="47" t="str">
        <f aca="false">IF(G119="","",IFERROR(INDEX(Palette!$K$2:$K$151,MATCH(G119,Palette!$A$2:$A$151,0)),"NOT IN PALETTE"))</f>
        <v/>
      </c>
      <c r="I119" s="43"/>
      <c r="J119" s="47"/>
      <c r="K119" s="47"/>
      <c r="L119" s="47"/>
      <c r="M119" s="47"/>
      <c r="N119" s="47"/>
      <c r="O119" s="47"/>
      <c r="P119" s="47"/>
      <c r="Q119" s="37" t="str">
        <f aca="false">IF(OR(B119="",G119=""),"",IF(AND(R119&lt;&gt;"",R119=0),"closed",IF(L119="",EDATE(B119,12),IF(M119="",EDATE(B119,24),IF(N119="",EDATE(B119,36),IF(O119="",EDATE(B119,60),IF(P119="",EDATE(B119,120),"done")))))))</f>
        <v/>
      </c>
      <c r="R119" s="47"/>
      <c r="S119" s="12"/>
      <c r="T119" s="12"/>
      <c r="U119" s="43"/>
    </row>
    <row r="120" customFormat="false" ht="15" hidden="false" customHeight="true" outlineLevel="0" collapsed="false">
      <c r="A120" s="43"/>
      <c r="B120" s="81"/>
      <c r="C120" s="12"/>
      <c r="D120" s="47"/>
      <c r="E120" s="47"/>
      <c r="F120" s="12"/>
      <c r="G120" s="12"/>
      <c r="H120" s="47" t="str">
        <f aca="false">IF(G120="","",IFERROR(INDEX(Palette!$K$2:$K$151,MATCH(G120,Palette!$A$2:$A$151,0)),"NOT IN PALETTE"))</f>
        <v/>
      </c>
      <c r="I120" s="43"/>
      <c r="J120" s="47"/>
      <c r="K120" s="47"/>
      <c r="L120" s="47"/>
      <c r="M120" s="47"/>
      <c r="N120" s="47"/>
      <c r="O120" s="47"/>
      <c r="P120" s="47"/>
      <c r="Q120" s="37" t="str">
        <f aca="false">IF(OR(B120="",G120=""),"",IF(AND(R120&lt;&gt;"",R120=0),"closed",IF(L120="",EDATE(B120,12),IF(M120="",EDATE(B120,24),IF(N120="",EDATE(B120,36),IF(O120="",EDATE(B120,60),IF(P120="",EDATE(B120,120),"done")))))))</f>
        <v/>
      </c>
      <c r="R120" s="47"/>
      <c r="S120" s="12"/>
      <c r="T120" s="12"/>
      <c r="U120" s="43"/>
    </row>
    <row r="121" customFormat="false" ht="15" hidden="false" customHeight="true" outlineLevel="0" collapsed="false">
      <c r="A121" s="43"/>
      <c r="B121" s="81"/>
      <c r="C121" s="12"/>
      <c r="D121" s="47"/>
      <c r="E121" s="47"/>
      <c r="F121" s="12"/>
      <c r="G121" s="12"/>
      <c r="H121" s="47" t="str">
        <f aca="false">IF(G121="","",IFERROR(INDEX(Palette!$K$2:$K$151,MATCH(G121,Palette!$A$2:$A$151,0)),"NOT IN PALETTE"))</f>
        <v/>
      </c>
      <c r="I121" s="43"/>
      <c r="J121" s="47"/>
      <c r="K121" s="47"/>
      <c r="L121" s="47"/>
      <c r="M121" s="47"/>
      <c r="N121" s="47"/>
      <c r="O121" s="47"/>
      <c r="P121" s="47"/>
      <c r="Q121" s="37" t="str">
        <f aca="false">IF(OR(B121="",G121=""),"",IF(AND(R121&lt;&gt;"",R121=0),"closed",IF(L121="",EDATE(B121,12),IF(M121="",EDATE(B121,24),IF(N121="",EDATE(B121,36),IF(O121="",EDATE(B121,60),IF(P121="",EDATE(B121,120),"done")))))))</f>
        <v/>
      </c>
      <c r="R121" s="47"/>
      <c r="S121" s="12"/>
      <c r="T121" s="12"/>
      <c r="U121" s="43"/>
    </row>
    <row r="122" customFormat="false" ht="15" hidden="false" customHeight="true" outlineLevel="0" collapsed="false">
      <c r="A122" s="43"/>
      <c r="B122" s="81"/>
      <c r="C122" s="12"/>
      <c r="D122" s="47"/>
      <c r="E122" s="47"/>
      <c r="F122" s="12"/>
      <c r="G122" s="12"/>
      <c r="H122" s="47" t="str">
        <f aca="false">IF(G122="","",IFERROR(INDEX(Palette!$K$2:$K$151,MATCH(G122,Palette!$A$2:$A$151,0)),"NOT IN PALETTE"))</f>
        <v/>
      </c>
      <c r="I122" s="43"/>
      <c r="J122" s="47"/>
      <c r="K122" s="47"/>
      <c r="L122" s="47"/>
      <c r="M122" s="47"/>
      <c r="N122" s="47"/>
      <c r="O122" s="47"/>
      <c r="P122" s="47"/>
      <c r="Q122" s="37" t="str">
        <f aca="false">IF(OR(B122="",G122=""),"",IF(AND(R122&lt;&gt;"",R122=0),"closed",IF(L122="",EDATE(B122,12),IF(M122="",EDATE(B122,24),IF(N122="",EDATE(B122,36),IF(O122="",EDATE(B122,60),IF(P122="",EDATE(B122,120),"done")))))))</f>
        <v/>
      </c>
      <c r="R122" s="47"/>
      <c r="S122" s="12"/>
      <c r="T122" s="12"/>
      <c r="U122" s="43"/>
    </row>
    <row r="123" customFormat="false" ht="15" hidden="false" customHeight="true" outlineLevel="0" collapsed="false">
      <c r="A123" s="43"/>
      <c r="B123" s="81"/>
      <c r="C123" s="12"/>
      <c r="D123" s="47"/>
      <c r="E123" s="47"/>
      <c r="F123" s="12"/>
      <c r="G123" s="12"/>
      <c r="H123" s="47" t="str">
        <f aca="false">IF(G123="","",IFERROR(INDEX(Palette!$K$2:$K$151,MATCH(G123,Palette!$A$2:$A$151,0)),"NOT IN PALETTE"))</f>
        <v/>
      </c>
      <c r="I123" s="43"/>
      <c r="J123" s="47"/>
      <c r="K123" s="47"/>
      <c r="L123" s="47"/>
      <c r="M123" s="47"/>
      <c r="N123" s="47"/>
      <c r="O123" s="47"/>
      <c r="P123" s="47"/>
      <c r="Q123" s="37" t="str">
        <f aca="false">IF(OR(B123="",G123=""),"",IF(AND(R123&lt;&gt;"",R123=0),"closed",IF(L123="",EDATE(B123,12),IF(M123="",EDATE(B123,24),IF(N123="",EDATE(B123,36),IF(O123="",EDATE(B123,60),IF(P123="",EDATE(B123,120),"done")))))))</f>
        <v/>
      </c>
      <c r="R123" s="47"/>
      <c r="S123" s="12"/>
      <c r="T123" s="12"/>
      <c r="U123" s="43"/>
    </row>
    <row r="124" customFormat="false" ht="15" hidden="false" customHeight="true" outlineLevel="0" collapsed="false">
      <c r="A124" s="43"/>
      <c r="B124" s="81"/>
      <c r="C124" s="12"/>
      <c r="D124" s="47"/>
      <c r="E124" s="47"/>
      <c r="F124" s="12"/>
      <c r="G124" s="12"/>
      <c r="H124" s="47" t="str">
        <f aca="false">IF(G124="","",IFERROR(INDEX(Palette!$K$2:$K$151,MATCH(G124,Palette!$A$2:$A$151,0)),"NOT IN PALETTE"))</f>
        <v/>
      </c>
      <c r="I124" s="43"/>
      <c r="J124" s="47"/>
      <c r="K124" s="47"/>
      <c r="L124" s="47"/>
      <c r="M124" s="47"/>
      <c r="N124" s="47"/>
      <c r="O124" s="47"/>
      <c r="P124" s="47"/>
      <c r="Q124" s="37" t="str">
        <f aca="false">IF(OR(B124="",G124=""),"",IF(AND(R124&lt;&gt;"",R124=0),"closed",IF(L124="",EDATE(B124,12),IF(M124="",EDATE(B124,24),IF(N124="",EDATE(B124,36),IF(O124="",EDATE(B124,60),IF(P124="",EDATE(B124,120),"done")))))))</f>
        <v/>
      </c>
      <c r="R124" s="47"/>
      <c r="S124" s="12"/>
      <c r="T124" s="12"/>
      <c r="U124" s="43"/>
    </row>
    <row r="125" customFormat="false" ht="15" hidden="false" customHeight="true" outlineLevel="0" collapsed="false">
      <c r="A125" s="43"/>
      <c r="B125" s="81"/>
      <c r="C125" s="12"/>
      <c r="D125" s="47"/>
      <c r="E125" s="47"/>
      <c r="F125" s="12"/>
      <c r="G125" s="12"/>
      <c r="H125" s="47" t="str">
        <f aca="false">IF(G125="","",IFERROR(INDEX(Palette!$K$2:$K$151,MATCH(G125,Palette!$A$2:$A$151,0)),"NOT IN PALETTE"))</f>
        <v/>
      </c>
      <c r="I125" s="43"/>
      <c r="J125" s="47"/>
      <c r="K125" s="47"/>
      <c r="L125" s="47"/>
      <c r="M125" s="47"/>
      <c r="N125" s="47"/>
      <c r="O125" s="47"/>
      <c r="P125" s="47"/>
      <c r="Q125" s="37" t="str">
        <f aca="false">IF(OR(B125="",G125=""),"",IF(AND(R125&lt;&gt;"",R125=0),"closed",IF(L125="",EDATE(B125,12),IF(M125="",EDATE(B125,24),IF(N125="",EDATE(B125,36),IF(O125="",EDATE(B125,60),IF(P125="",EDATE(B125,120),"done")))))))</f>
        <v/>
      </c>
      <c r="R125" s="47"/>
      <c r="S125" s="12"/>
      <c r="T125" s="12"/>
      <c r="U125" s="43"/>
    </row>
    <row r="126" customFormat="false" ht="15" hidden="false" customHeight="true" outlineLevel="0" collapsed="false">
      <c r="A126" s="43"/>
      <c r="B126" s="81"/>
      <c r="C126" s="12"/>
      <c r="D126" s="47"/>
      <c r="E126" s="47"/>
      <c r="F126" s="12"/>
      <c r="G126" s="12"/>
      <c r="H126" s="47" t="str">
        <f aca="false">IF(G126="","",IFERROR(INDEX(Palette!$K$2:$K$151,MATCH(G126,Palette!$A$2:$A$151,0)),"NOT IN PALETTE"))</f>
        <v/>
      </c>
      <c r="I126" s="43"/>
      <c r="J126" s="47"/>
      <c r="K126" s="47"/>
      <c r="L126" s="47"/>
      <c r="M126" s="47"/>
      <c r="N126" s="47"/>
      <c r="O126" s="47"/>
      <c r="P126" s="47"/>
      <c r="Q126" s="37" t="str">
        <f aca="false">IF(OR(B126="",G126=""),"",IF(AND(R126&lt;&gt;"",R126=0),"closed",IF(L126="",EDATE(B126,12),IF(M126="",EDATE(B126,24),IF(N126="",EDATE(B126,36),IF(O126="",EDATE(B126,60),IF(P126="",EDATE(B126,120),"done")))))))</f>
        <v/>
      </c>
      <c r="R126" s="47"/>
      <c r="S126" s="12"/>
      <c r="T126" s="12"/>
      <c r="U126" s="43"/>
    </row>
    <row r="127" customFormat="false" ht="15" hidden="false" customHeight="true" outlineLevel="0" collapsed="false">
      <c r="A127" s="43"/>
      <c r="B127" s="81"/>
      <c r="C127" s="12"/>
      <c r="D127" s="47"/>
      <c r="E127" s="47"/>
      <c r="F127" s="12"/>
      <c r="G127" s="12"/>
      <c r="H127" s="47" t="str">
        <f aca="false">IF(G127="","",IFERROR(INDEX(Palette!$K$2:$K$151,MATCH(G127,Palette!$A$2:$A$151,0)),"NOT IN PALETTE"))</f>
        <v/>
      </c>
      <c r="I127" s="43"/>
      <c r="J127" s="47"/>
      <c r="K127" s="47"/>
      <c r="L127" s="47"/>
      <c r="M127" s="47"/>
      <c r="N127" s="47"/>
      <c r="O127" s="47"/>
      <c r="P127" s="47"/>
      <c r="Q127" s="37" t="str">
        <f aca="false">IF(OR(B127="",G127=""),"",IF(AND(R127&lt;&gt;"",R127=0),"closed",IF(L127="",EDATE(B127,12),IF(M127="",EDATE(B127,24),IF(N127="",EDATE(B127,36),IF(O127="",EDATE(B127,60),IF(P127="",EDATE(B127,120),"done")))))))</f>
        <v/>
      </c>
      <c r="R127" s="47"/>
      <c r="S127" s="12"/>
      <c r="T127" s="12"/>
      <c r="U127" s="43"/>
    </row>
    <row r="128" customFormat="false" ht="15" hidden="false" customHeight="true" outlineLevel="0" collapsed="false">
      <c r="A128" s="43"/>
      <c r="B128" s="81"/>
      <c r="C128" s="12"/>
      <c r="D128" s="47"/>
      <c r="E128" s="47"/>
      <c r="F128" s="12"/>
      <c r="G128" s="12"/>
      <c r="H128" s="47" t="str">
        <f aca="false">IF(G128="","",IFERROR(INDEX(Palette!$K$2:$K$151,MATCH(G128,Palette!$A$2:$A$151,0)),"NOT IN PALETTE"))</f>
        <v/>
      </c>
      <c r="I128" s="43"/>
      <c r="J128" s="47"/>
      <c r="K128" s="47"/>
      <c r="L128" s="47"/>
      <c r="M128" s="47"/>
      <c r="N128" s="47"/>
      <c r="O128" s="47"/>
      <c r="P128" s="47"/>
      <c r="Q128" s="37" t="str">
        <f aca="false">IF(OR(B128="",G128=""),"",IF(AND(R128&lt;&gt;"",R128=0),"closed",IF(L128="",EDATE(B128,12),IF(M128="",EDATE(B128,24),IF(N128="",EDATE(B128,36),IF(O128="",EDATE(B128,60),IF(P128="",EDATE(B128,120),"done")))))))</f>
        <v/>
      </c>
      <c r="R128" s="47"/>
      <c r="S128" s="12"/>
      <c r="T128" s="12"/>
      <c r="U128" s="43"/>
    </row>
    <row r="129" customFormat="false" ht="15" hidden="false" customHeight="true" outlineLevel="0" collapsed="false">
      <c r="A129" s="43"/>
      <c r="B129" s="81"/>
      <c r="C129" s="12"/>
      <c r="D129" s="47"/>
      <c r="E129" s="47"/>
      <c r="F129" s="12"/>
      <c r="G129" s="12"/>
      <c r="H129" s="47" t="str">
        <f aca="false">IF(G129="","",IFERROR(INDEX(Palette!$K$2:$K$151,MATCH(G129,Palette!$A$2:$A$151,0)),"NOT IN PALETTE"))</f>
        <v/>
      </c>
      <c r="I129" s="43"/>
      <c r="J129" s="47"/>
      <c r="K129" s="47"/>
      <c r="L129" s="47"/>
      <c r="M129" s="47"/>
      <c r="N129" s="47"/>
      <c r="O129" s="47"/>
      <c r="P129" s="47"/>
      <c r="Q129" s="37" t="str">
        <f aca="false">IF(OR(B129="",G129=""),"",IF(AND(R129&lt;&gt;"",R129=0),"closed",IF(L129="",EDATE(B129,12),IF(M129="",EDATE(B129,24),IF(N129="",EDATE(B129,36),IF(O129="",EDATE(B129,60),IF(P129="",EDATE(B129,120),"done")))))))</f>
        <v/>
      </c>
      <c r="R129" s="47"/>
      <c r="S129" s="12"/>
      <c r="T129" s="12"/>
      <c r="U129" s="43"/>
    </row>
    <row r="130" customFormat="false" ht="15" hidden="false" customHeight="true" outlineLevel="0" collapsed="false">
      <c r="A130" s="43"/>
      <c r="B130" s="81"/>
      <c r="C130" s="12"/>
      <c r="D130" s="47"/>
      <c r="E130" s="47"/>
      <c r="F130" s="12"/>
      <c r="G130" s="12"/>
      <c r="H130" s="47" t="str">
        <f aca="false">IF(G130="","",IFERROR(INDEX(Palette!$K$2:$K$151,MATCH(G130,Palette!$A$2:$A$151,0)),"NOT IN PALETTE"))</f>
        <v/>
      </c>
      <c r="I130" s="43"/>
      <c r="J130" s="47"/>
      <c r="K130" s="47"/>
      <c r="L130" s="47"/>
      <c r="M130" s="47"/>
      <c r="N130" s="47"/>
      <c r="O130" s="47"/>
      <c r="P130" s="47"/>
      <c r="Q130" s="37" t="str">
        <f aca="false">IF(OR(B130="",G130=""),"",IF(AND(R130&lt;&gt;"",R130=0),"closed",IF(L130="",EDATE(B130,12),IF(M130="",EDATE(B130,24),IF(N130="",EDATE(B130,36),IF(O130="",EDATE(B130,60),IF(P130="",EDATE(B130,120),"done")))))))</f>
        <v/>
      </c>
      <c r="R130" s="47"/>
      <c r="S130" s="12"/>
      <c r="T130" s="12"/>
      <c r="U130" s="43"/>
    </row>
    <row r="131" customFormat="false" ht="15" hidden="false" customHeight="true" outlineLevel="0" collapsed="false">
      <c r="A131" s="43"/>
      <c r="B131" s="81"/>
      <c r="C131" s="12"/>
      <c r="D131" s="47"/>
      <c r="E131" s="47"/>
      <c r="F131" s="12"/>
      <c r="G131" s="12"/>
      <c r="H131" s="47" t="str">
        <f aca="false">IF(G131="","",IFERROR(INDEX(Palette!$K$2:$K$151,MATCH(G131,Palette!$A$2:$A$151,0)),"NOT IN PALETTE"))</f>
        <v/>
      </c>
      <c r="I131" s="43"/>
      <c r="J131" s="47"/>
      <c r="K131" s="47"/>
      <c r="L131" s="47"/>
      <c r="M131" s="47"/>
      <c r="N131" s="47"/>
      <c r="O131" s="47"/>
      <c r="P131" s="47"/>
      <c r="Q131" s="37" t="str">
        <f aca="false">IF(OR(B131="",G131=""),"",IF(AND(R131&lt;&gt;"",R131=0),"closed",IF(L131="",EDATE(B131,12),IF(M131="",EDATE(B131,24),IF(N131="",EDATE(B131,36),IF(O131="",EDATE(B131,60),IF(P131="",EDATE(B131,120),"done")))))))</f>
        <v/>
      </c>
      <c r="R131" s="47"/>
      <c r="S131" s="12"/>
      <c r="T131" s="12"/>
      <c r="U131" s="43"/>
    </row>
    <row r="132" customFormat="false" ht="15" hidden="false" customHeight="true" outlineLevel="0" collapsed="false">
      <c r="A132" s="43"/>
      <c r="B132" s="81"/>
      <c r="C132" s="12"/>
      <c r="D132" s="47"/>
      <c r="E132" s="47"/>
      <c r="F132" s="12"/>
      <c r="G132" s="12"/>
      <c r="H132" s="47" t="str">
        <f aca="false">IF(G132="","",IFERROR(INDEX(Palette!$K$2:$K$151,MATCH(G132,Palette!$A$2:$A$151,0)),"NOT IN PALETTE"))</f>
        <v/>
      </c>
      <c r="I132" s="43"/>
      <c r="J132" s="47"/>
      <c r="K132" s="47"/>
      <c r="L132" s="47"/>
      <c r="M132" s="47"/>
      <c r="N132" s="47"/>
      <c r="O132" s="47"/>
      <c r="P132" s="47"/>
      <c r="Q132" s="37" t="str">
        <f aca="false">IF(OR(B132="",G132=""),"",IF(AND(R132&lt;&gt;"",R132=0),"closed",IF(L132="",EDATE(B132,12),IF(M132="",EDATE(B132,24),IF(N132="",EDATE(B132,36),IF(O132="",EDATE(B132,60),IF(P132="",EDATE(B132,120),"done")))))))</f>
        <v/>
      </c>
      <c r="R132" s="47"/>
      <c r="S132" s="12"/>
      <c r="T132" s="12"/>
      <c r="U132" s="43"/>
    </row>
    <row r="133" customFormat="false" ht="15" hidden="false" customHeight="true" outlineLevel="0" collapsed="false">
      <c r="A133" s="43"/>
      <c r="B133" s="81"/>
      <c r="C133" s="12"/>
      <c r="D133" s="47"/>
      <c r="E133" s="47"/>
      <c r="F133" s="12"/>
      <c r="G133" s="12"/>
      <c r="H133" s="47" t="str">
        <f aca="false">IF(G133="","",IFERROR(INDEX(Palette!$K$2:$K$151,MATCH(G133,Palette!$A$2:$A$151,0)),"NOT IN PALETTE"))</f>
        <v/>
      </c>
      <c r="I133" s="43"/>
      <c r="J133" s="47"/>
      <c r="K133" s="47"/>
      <c r="L133" s="47"/>
      <c r="M133" s="47"/>
      <c r="N133" s="47"/>
      <c r="O133" s="47"/>
      <c r="P133" s="47"/>
      <c r="Q133" s="37" t="str">
        <f aca="false">IF(OR(B133="",G133=""),"",IF(AND(R133&lt;&gt;"",R133=0),"closed",IF(L133="",EDATE(B133,12),IF(M133="",EDATE(B133,24),IF(N133="",EDATE(B133,36),IF(O133="",EDATE(B133,60),IF(P133="",EDATE(B133,120),"done")))))))</f>
        <v/>
      </c>
      <c r="R133" s="47"/>
      <c r="S133" s="12"/>
      <c r="T133" s="12"/>
      <c r="U133" s="43"/>
    </row>
    <row r="134" customFormat="false" ht="15" hidden="false" customHeight="true" outlineLevel="0" collapsed="false">
      <c r="A134" s="43"/>
      <c r="B134" s="81"/>
      <c r="C134" s="12"/>
      <c r="D134" s="47"/>
      <c r="E134" s="47"/>
      <c r="F134" s="12"/>
      <c r="G134" s="12"/>
      <c r="H134" s="47" t="str">
        <f aca="false">IF(G134="","",IFERROR(INDEX(Palette!$K$2:$K$151,MATCH(G134,Palette!$A$2:$A$151,0)),"NOT IN PALETTE"))</f>
        <v/>
      </c>
      <c r="I134" s="43"/>
      <c r="J134" s="47"/>
      <c r="K134" s="47"/>
      <c r="L134" s="47"/>
      <c r="M134" s="47"/>
      <c r="N134" s="47"/>
      <c r="O134" s="47"/>
      <c r="P134" s="47"/>
      <c r="Q134" s="37" t="str">
        <f aca="false">IF(OR(B134="",G134=""),"",IF(AND(R134&lt;&gt;"",R134=0),"closed",IF(L134="",EDATE(B134,12),IF(M134="",EDATE(B134,24),IF(N134="",EDATE(B134,36),IF(O134="",EDATE(B134,60),IF(P134="",EDATE(B134,120),"done")))))))</f>
        <v/>
      </c>
      <c r="R134" s="47"/>
      <c r="S134" s="12"/>
      <c r="T134" s="12"/>
      <c r="U134" s="43"/>
    </row>
    <row r="135" customFormat="false" ht="15" hidden="false" customHeight="true" outlineLevel="0" collapsed="false">
      <c r="A135" s="43"/>
      <c r="B135" s="81"/>
      <c r="C135" s="12"/>
      <c r="D135" s="47"/>
      <c r="E135" s="47"/>
      <c r="F135" s="12"/>
      <c r="G135" s="12"/>
      <c r="H135" s="47" t="str">
        <f aca="false">IF(G135="","",IFERROR(INDEX(Palette!$K$2:$K$151,MATCH(G135,Palette!$A$2:$A$151,0)),"NOT IN PALETTE"))</f>
        <v/>
      </c>
      <c r="I135" s="43"/>
      <c r="J135" s="47"/>
      <c r="K135" s="47"/>
      <c r="L135" s="47"/>
      <c r="M135" s="47"/>
      <c r="N135" s="47"/>
      <c r="O135" s="47"/>
      <c r="P135" s="47"/>
      <c r="Q135" s="37" t="str">
        <f aca="false">IF(OR(B135="",G135=""),"",IF(AND(R135&lt;&gt;"",R135=0),"closed",IF(L135="",EDATE(B135,12),IF(M135="",EDATE(B135,24),IF(N135="",EDATE(B135,36),IF(O135="",EDATE(B135,60),IF(P135="",EDATE(B135,120),"done")))))))</f>
        <v/>
      </c>
      <c r="R135" s="47"/>
      <c r="S135" s="12"/>
      <c r="T135" s="12"/>
      <c r="U135" s="43"/>
    </row>
    <row r="136" customFormat="false" ht="15" hidden="false" customHeight="true" outlineLevel="0" collapsed="false">
      <c r="A136" s="43"/>
      <c r="B136" s="81"/>
      <c r="C136" s="12"/>
      <c r="D136" s="47"/>
      <c r="E136" s="47"/>
      <c r="F136" s="12"/>
      <c r="G136" s="12"/>
      <c r="H136" s="47" t="str">
        <f aca="false">IF(G136="","",IFERROR(INDEX(Palette!$K$2:$K$151,MATCH(G136,Palette!$A$2:$A$151,0)),"NOT IN PALETTE"))</f>
        <v/>
      </c>
      <c r="I136" s="43"/>
      <c r="J136" s="47"/>
      <c r="K136" s="47"/>
      <c r="L136" s="47"/>
      <c r="M136" s="47"/>
      <c r="N136" s="47"/>
      <c r="O136" s="47"/>
      <c r="P136" s="47"/>
      <c r="Q136" s="37" t="str">
        <f aca="false">IF(OR(B136="",G136=""),"",IF(AND(R136&lt;&gt;"",R136=0),"closed",IF(L136="",EDATE(B136,12),IF(M136="",EDATE(B136,24),IF(N136="",EDATE(B136,36),IF(O136="",EDATE(B136,60),IF(P136="",EDATE(B136,120),"done")))))))</f>
        <v/>
      </c>
      <c r="R136" s="47"/>
      <c r="S136" s="12"/>
      <c r="T136" s="12"/>
      <c r="U136" s="43"/>
    </row>
    <row r="137" customFormat="false" ht="15" hidden="false" customHeight="true" outlineLevel="0" collapsed="false">
      <c r="A137" s="43"/>
      <c r="B137" s="81"/>
      <c r="C137" s="12"/>
      <c r="D137" s="47"/>
      <c r="E137" s="47"/>
      <c r="F137" s="12"/>
      <c r="G137" s="12"/>
      <c r="H137" s="47" t="str">
        <f aca="false">IF(G137="","",IFERROR(INDEX(Palette!$K$2:$K$151,MATCH(G137,Palette!$A$2:$A$151,0)),"NOT IN PALETTE"))</f>
        <v/>
      </c>
      <c r="I137" s="43"/>
      <c r="J137" s="47"/>
      <c r="K137" s="47"/>
      <c r="L137" s="47"/>
      <c r="M137" s="47"/>
      <c r="N137" s="47"/>
      <c r="O137" s="47"/>
      <c r="P137" s="47"/>
      <c r="Q137" s="37" t="str">
        <f aca="false">IF(OR(B137="",G137=""),"",IF(AND(R137&lt;&gt;"",R137=0),"closed",IF(L137="",EDATE(B137,12),IF(M137="",EDATE(B137,24),IF(N137="",EDATE(B137,36),IF(O137="",EDATE(B137,60),IF(P137="",EDATE(B137,120),"done")))))))</f>
        <v/>
      </c>
      <c r="R137" s="47"/>
      <c r="S137" s="12"/>
      <c r="T137" s="12"/>
      <c r="U137" s="43"/>
    </row>
    <row r="138" customFormat="false" ht="15" hidden="false" customHeight="true" outlineLevel="0" collapsed="false">
      <c r="A138" s="43"/>
      <c r="B138" s="81"/>
      <c r="C138" s="12"/>
      <c r="D138" s="47"/>
      <c r="E138" s="47"/>
      <c r="F138" s="12"/>
      <c r="G138" s="12"/>
      <c r="H138" s="47" t="str">
        <f aca="false">IF(G138="","",IFERROR(INDEX(Palette!$K$2:$K$151,MATCH(G138,Palette!$A$2:$A$151,0)),"NOT IN PALETTE"))</f>
        <v/>
      </c>
      <c r="I138" s="43"/>
      <c r="J138" s="47"/>
      <c r="K138" s="47"/>
      <c r="L138" s="47"/>
      <c r="M138" s="47"/>
      <c r="N138" s="47"/>
      <c r="O138" s="47"/>
      <c r="P138" s="47"/>
      <c r="Q138" s="37" t="str">
        <f aca="false">IF(OR(B138="",G138=""),"",IF(AND(R138&lt;&gt;"",R138=0),"closed",IF(L138="",EDATE(B138,12),IF(M138="",EDATE(B138,24),IF(N138="",EDATE(B138,36),IF(O138="",EDATE(B138,60),IF(P138="",EDATE(B138,120),"done")))))))</f>
        <v/>
      </c>
      <c r="R138" s="47"/>
      <c r="S138" s="12"/>
      <c r="T138" s="12"/>
      <c r="U138" s="43"/>
    </row>
    <row r="139" customFormat="false" ht="15" hidden="false" customHeight="true" outlineLevel="0" collapsed="false">
      <c r="A139" s="43"/>
      <c r="B139" s="81"/>
      <c r="C139" s="12"/>
      <c r="D139" s="47"/>
      <c r="E139" s="47"/>
      <c r="F139" s="12"/>
      <c r="G139" s="12"/>
      <c r="H139" s="47" t="str">
        <f aca="false">IF(G139="","",IFERROR(INDEX(Palette!$K$2:$K$151,MATCH(G139,Palette!$A$2:$A$151,0)),"NOT IN PALETTE"))</f>
        <v/>
      </c>
      <c r="I139" s="43"/>
      <c r="J139" s="47"/>
      <c r="K139" s="47"/>
      <c r="L139" s="47"/>
      <c r="M139" s="47"/>
      <c r="N139" s="47"/>
      <c r="O139" s="47"/>
      <c r="P139" s="47"/>
      <c r="Q139" s="37" t="str">
        <f aca="false">IF(OR(B139="",G139=""),"",IF(AND(R139&lt;&gt;"",R139=0),"closed",IF(L139="",EDATE(B139,12),IF(M139="",EDATE(B139,24),IF(N139="",EDATE(B139,36),IF(O139="",EDATE(B139,60),IF(P139="",EDATE(B139,120),"done")))))))</f>
        <v/>
      </c>
      <c r="R139" s="47"/>
      <c r="S139" s="12"/>
      <c r="T139" s="12"/>
      <c r="U139" s="43"/>
    </row>
    <row r="140" customFormat="false" ht="15" hidden="false" customHeight="true" outlineLevel="0" collapsed="false">
      <c r="A140" s="43"/>
      <c r="B140" s="81"/>
      <c r="C140" s="12"/>
      <c r="D140" s="47"/>
      <c r="E140" s="47"/>
      <c r="F140" s="12"/>
      <c r="G140" s="12"/>
      <c r="H140" s="47" t="str">
        <f aca="false">IF(G140="","",IFERROR(INDEX(Palette!$K$2:$K$151,MATCH(G140,Palette!$A$2:$A$151,0)),"NOT IN PALETTE"))</f>
        <v/>
      </c>
      <c r="I140" s="43"/>
      <c r="J140" s="47"/>
      <c r="K140" s="47"/>
      <c r="L140" s="47"/>
      <c r="M140" s="47"/>
      <c r="N140" s="47"/>
      <c r="O140" s="47"/>
      <c r="P140" s="47"/>
      <c r="Q140" s="37" t="str">
        <f aca="false">IF(OR(B140="",G140=""),"",IF(AND(R140&lt;&gt;"",R140=0),"closed",IF(L140="",EDATE(B140,12),IF(M140="",EDATE(B140,24),IF(N140="",EDATE(B140,36),IF(O140="",EDATE(B140,60),IF(P140="",EDATE(B140,120),"done")))))))</f>
        <v/>
      </c>
      <c r="R140" s="47"/>
      <c r="S140" s="12"/>
      <c r="T140" s="12"/>
      <c r="U140" s="43"/>
    </row>
    <row r="141" customFormat="false" ht="15" hidden="false" customHeight="true" outlineLevel="0" collapsed="false">
      <c r="A141" s="43"/>
      <c r="B141" s="81"/>
      <c r="C141" s="12"/>
      <c r="D141" s="47"/>
      <c r="E141" s="47"/>
      <c r="F141" s="12"/>
      <c r="G141" s="12"/>
      <c r="H141" s="47" t="str">
        <f aca="false">IF(G141="","",IFERROR(INDEX(Palette!$K$2:$K$151,MATCH(G141,Palette!$A$2:$A$151,0)),"NOT IN PALETTE"))</f>
        <v/>
      </c>
      <c r="I141" s="43"/>
      <c r="J141" s="47"/>
      <c r="K141" s="47"/>
      <c r="L141" s="47"/>
      <c r="M141" s="47"/>
      <c r="N141" s="47"/>
      <c r="O141" s="47"/>
      <c r="P141" s="47"/>
      <c r="Q141" s="37" t="str">
        <f aca="false">IF(OR(B141="",G141=""),"",IF(AND(R141&lt;&gt;"",R141=0),"closed",IF(L141="",EDATE(B141,12),IF(M141="",EDATE(B141,24),IF(N141="",EDATE(B141,36),IF(O141="",EDATE(B141,60),IF(P141="",EDATE(B141,120),"done")))))))</f>
        <v/>
      </c>
      <c r="R141" s="47"/>
      <c r="S141" s="12"/>
      <c r="T141" s="12"/>
      <c r="U141" s="43"/>
    </row>
    <row r="142" customFormat="false" ht="15" hidden="false" customHeight="true" outlineLevel="0" collapsed="false">
      <c r="A142" s="43"/>
      <c r="B142" s="81"/>
      <c r="C142" s="12"/>
      <c r="D142" s="47"/>
      <c r="E142" s="47"/>
      <c r="F142" s="12"/>
      <c r="G142" s="12"/>
      <c r="H142" s="47" t="str">
        <f aca="false">IF(G142="","",IFERROR(INDEX(Palette!$K$2:$K$151,MATCH(G142,Palette!$A$2:$A$151,0)),"NOT IN PALETTE"))</f>
        <v/>
      </c>
      <c r="I142" s="43"/>
      <c r="J142" s="47"/>
      <c r="K142" s="47"/>
      <c r="L142" s="47"/>
      <c r="M142" s="47"/>
      <c r="N142" s="47"/>
      <c r="O142" s="47"/>
      <c r="P142" s="47"/>
      <c r="Q142" s="37" t="str">
        <f aca="false">IF(OR(B142="",G142=""),"",IF(AND(R142&lt;&gt;"",R142=0),"closed",IF(L142="",EDATE(B142,12),IF(M142="",EDATE(B142,24),IF(N142="",EDATE(B142,36),IF(O142="",EDATE(B142,60),IF(P142="",EDATE(B142,120),"done")))))))</f>
        <v/>
      </c>
      <c r="R142" s="47"/>
      <c r="S142" s="12"/>
      <c r="T142" s="12"/>
      <c r="U142" s="43"/>
    </row>
    <row r="143" customFormat="false" ht="15" hidden="false" customHeight="true" outlineLevel="0" collapsed="false">
      <c r="A143" s="43"/>
      <c r="B143" s="81"/>
      <c r="C143" s="12"/>
      <c r="D143" s="47"/>
      <c r="E143" s="47"/>
      <c r="F143" s="12"/>
      <c r="G143" s="12"/>
      <c r="H143" s="47" t="str">
        <f aca="false">IF(G143="","",IFERROR(INDEX(Palette!$K$2:$K$151,MATCH(G143,Palette!$A$2:$A$151,0)),"NOT IN PALETTE"))</f>
        <v/>
      </c>
      <c r="I143" s="43"/>
      <c r="J143" s="47"/>
      <c r="K143" s="47"/>
      <c r="L143" s="47"/>
      <c r="M143" s="47"/>
      <c r="N143" s="47"/>
      <c r="O143" s="47"/>
      <c r="P143" s="47"/>
      <c r="Q143" s="37" t="str">
        <f aca="false">IF(OR(B143="",G143=""),"",IF(AND(R143&lt;&gt;"",R143=0),"closed",IF(L143="",EDATE(B143,12),IF(M143="",EDATE(B143,24),IF(N143="",EDATE(B143,36),IF(O143="",EDATE(B143,60),IF(P143="",EDATE(B143,120),"done")))))))</f>
        <v/>
      </c>
      <c r="R143" s="47"/>
      <c r="S143" s="12"/>
      <c r="T143" s="12"/>
      <c r="U143" s="43"/>
    </row>
    <row r="144" customFormat="false" ht="15" hidden="false" customHeight="true" outlineLevel="0" collapsed="false">
      <c r="A144" s="43"/>
      <c r="B144" s="81"/>
      <c r="C144" s="12"/>
      <c r="D144" s="47"/>
      <c r="E144" s="47"/>
      <c r="F144" s="12"/>
      <c r="G144" s="12"/>
      <c r="H144" s="47" t="str">
        <f aca="false">IF(G144="","",IFERROR(INDEX(Palette!$K$2:$K$151,MATCH(G144,Palette!$A$2:$A$151,0)),"NOT IN PALETTE"))</f>
        <v/>
      </c>
      <c r="I144" s="43"/>
      <c r="J144" s="47"/>
      <c r="K144" s="47"/>
      <c r="L144" s="47"/>
      <c r="M144" s="47"/>
      <c r="N144" s="47"/>
      <c r="O144" s="47"/>
      <c r="P144" s="47"/>
      <c r="Q144" s="37" t="str">
        <f aca="false">IF(OR(B144="",G144=""),"",IF(AND(R144&lt;&gt;"",R144=0),"closed",IF(L144="",EDATE(B144,12),IF(M144="",EDATE(B144,24),IF(N144="",EDATE(B144,36),IF(O144="",EDATE(B144,60),IF(P144="",EDATE(B144,120),"done")))))))</f>
        <v/>
      </c>
      <c r="R144" s="47"/>
      <c r="S144" s="12"/>
      <c r="T144" s="12"/>
      <c r="U144" s="43"/>
    </row>
    <row r="145" customFormat="false" ht="15" hidden="false" customHeight="true" outlineLevel="0" collapsed="false">
      <c r="A145" s="43"/>
      <c r="B145" s="81"/>
      <c r="C145" s="12"/>
      <c r="D145" s="47"/>
      <c r="E145" s="47"/>
      <c r="F145" s="12"/>
      <c r="G145" s="12"/>
      <c r="H145" s="47" t="str">
        <f aca="false">IF(G145="","",IFERROR(INDEX(Palette!$K$2:$K$151,MATCH(G145,Palette!$A$2:$A$151,0)),"NOT IN PALETTE"))</f>
        <v/>
      </c>
      <c r="I145" s="43"/>
      <c r="J145" s="47"/>
      <c r="K145" s="47"/>
      <c r="L145" s="47"/>
      <c r="M145" s="47"/>
      <c r="N145" s="47"/>
      <c r="O145" s="47"/>
      <c r="P145" s="47"/>
      <c r="Q145" s="37" t="str">
        <f aca="false">IF(OR(B145="",G145=""),"",IF(AND(R145&lt;&gt;"",R145=0),"closed",IF(L145="",EDATE(B145,12),IF(M145="",EDATE(B145,24),IF(N145="",EDATE(B145,36),IF(O145="",EDATE(B145,60),IF(P145="",EDATE(B145,120),"done")))))))</f>
        <v/>
      </c>
      <c r="R145" s="47"/>
      <c r="S145" s="12"/>
      <c r="T145" s="12"/>
      <c r="U145" s="43"/>
    </row>
    <row r="146" customFormat="false" ht="15" hidden="false" customHeight="true" outlineLevel="0" collapsed="false">
      <c r="A146" s="43"/>
      <c r="B146" s="81"/>
      <c r="C146" s="12"/>
      <c r="D146" s="47"/>
      <c r="E146" s="47"/>
      <c r="F146" s="12"/>
      <c r="G146" s="12"/>
      <c r="H146" s="47" t="str">
        <f aca="false">IF(G146="","",IFERROR(INDEX(Palette!$K$2:$K$151,MATCH(G146,Palette!$A$2:$A$151,0)),"NOT IN PALETTE"))</f>
        <v/>
      </c>
      <c r="I146" s="43"/>
      <c r="J146" s="47"/>
      <c r="K146" s="47"/>
      <c r="L146" s="47"/>
      <c r="M146" s="47"/>
      <c r="N146" s="47"/>
      <c r="O146" s="47"/>
      <c r="P146" s="47"/>
      <c r="Q146" s="37" t="str">
        <f aca="false">IF(OR(B146="",G146=""),"",IF(AND(R146&lt;&gt;"",R146=0),"closed",IF(L146="",EDATE(B146,12),IF(M146="",EDATE(B146,24),IF(N146="",EDATE(B146,36),IF(O146="",EDATE(B146,60),IF(P146="",EDATE(B146,120),"done")))))))</f>
        <v/>
      </c>
      <c r="R146" s="47"/>
      <c r="S146" s="12"/>
      <c r="T146" s="12"/>
      <c r="U146" s="43"/>
    </row>
    <row r="147" customFormat="false" ht="15" hidden="false" customHeight="true" outlineLevel="0" collapsed="false">
      <c r="A147" s="43"/>
      <c r="B147" s="81"/>
      <c r="C147" s="12"/>
      <c r="D147" s="47"/>
      <c r="E147" s="47"/>
      <c r="F147" s="12"/>
      <c r="G147" s="12"/>
      <c r="H147" s="47" t="str">
        <f aca="false">IF(G147="","",IFERROR(INDEX(Palette!$K$2:$K$151,MATCH(G147,Palette!$A$2:$A$151,0)),"NOT IN PALETTE"))</f>
        <v/>
      </c>
      <c r="I147" s="43"/>
      <c r="J147" s="47"/>
      <c r="K147" s="47"/>
      <c r="L147" s="47"/>
      <c r="M147" s="47"/>
      <c r="N147" s="47"/>
      <c r="O147" s="47"/>
      <c r="P147" s="47"/>
      <c r="Q147" s="37" t="str">
        <f aca="false">IF(OR(B147="",G147=""),"",IF(AND(R147&lt;&gt;"",R147=0),"closed",IF(L147="",EDATE(B147,12),IF(M147="",EDATE(B147,24),IF(N147="",EDATE(B147,36),IF(O147="",EDATE(B147,60),IF(P147="",EDATE(B147,120),"done")))))))</f>
        <v/>
      </c>
      <c r="R147" s="47"/>
      <c r="S147" s="12"/>
      <c r="T147" s="12"/>
      <c r="U147" s="43"/>
    </row>
    <row r="148" customFormat="false" ht="15" hidden="false" customHeight="true" outlineLevel="0" collapsed="false">
      <c r="A148" s="43"/>
      <c r="B148" s="81"/>
      <c r="C148" s="12"/>
      <c r="D148" s="47"/>
      <c r="E148" s="47"/>
      <c r="F148" s="12"/>
      <c r="G148" s="12"/>
      <c r="H148" s="47" t="str">
        <f aca="false">IF(G148="","",IFERROR(INDEX(Palette!$K$2:$K$151,MATCH(G148,Palette!$A$2:$A$151,0)),"NOT IN PALETTE"))</f>
        <v/>
      </c>
      <c r="I148" s="43"/>
      <c r="J148" s="47"/>
      <c r="K148" s="47"/>
      <c r="L148" s="47"/>
      <c r="M148" s="47"/>
      <c r="N148" s="47"/>
      <c r="O148" s="47"/>
      <c r="P148" s="47"/>
      <c r="Q148" s="37" t="str">
        <f aca="false">IF(OR(B148="",G148=""),"",IF(AND(R148&lt;&gt;"",R148=0),"closed",IF(L148="",EDATE(B148,12),IF(M148="",EDATE(B148,24),IF(N148="",EDATE(B148,36),IF(O148="",EDATE(B148,60),IF(P148="",EDATE(B148,120),"done")))))))</f>
        <v/>
      </c>
      <c r="R148" s="47"/>
      <c r="S148" s="12"/>
      <c r="T148" s="12"/>
      <c r="U148" s="43"/>
    </row>
    <row r="149" customFormat="false" ht="15" hidden="false" customHeight="true" outlineLevel="0" collapsed="false">
      <c r="A149" s="43"/>
      <c r="B149" s="81"/>
      <c r="C149" s="12"/>
      <c r="D149" s="47"/>
      <c r="E149" s="47"/>
      <c r="F149" s="12"/>
      <c r="G149" s="12"/>
      <c r="H149" s="47" t="str">
        <f aca="false">IF(G149="","",IFERROR(INDEX(Palette!$K$2:$K$151,MATCH(G149,Palette!$A$2:$A$151,0)),"NOT IN PALETTE"))</f>
        <v/>
      </c>
      <c r="I149" s="43"/>
      <c r="J149" s="47"/>
      <c r="K149" s="47"/>
      <c r="L149" s="47"/>
      <c r="M149" s="47"/>
      <c r="N149" s="47"/>
      <c r="O149" s="47"/>
      <c r="P149" s="47"/>
      <c r="Q149" s="37" t="str">
        <f aca="false">IF(OR(B149="",G149=""),"",IF(AND(R149&lt;&gt;"",R149=0),"closed",IF(L149="",EDATE(B149,12),IF(M149="",EDATE(B149,24),IF(N149="",EDATE(B149,36),IF(O149="",EDATE(B149,60),IF(P149="",EDATE(B149,120),"done")))))))</f>
        <v/>
      </c>
      <c r="R149" s="47"/>
      <c r="S149" s="12"/>
      <c r="T149" s="12"/>
      <c r="U149" s="43"/>
    </row>
    <row r="150" customFormat="false" ht="15" hidden="false" customHeight="true" outlineLevel="0" collapsed="false">
      <c r="A150" s="43"/>
      <c r="B150" s="81"/>
      <c r="C150" s="12"/>
      <c r="D150" s="47"/>
      <c r="E150" s="47"/>
      <c r="F150" s="12"/>
      <c r="G150" s="12"/>
      <c r="H150" s="47" t="str">
        <f aca="false">IF(G150="","",IFERROR(INDEX(Palette!$K$2:$K$151,MATCH(G150,Palette!$A$2:$A$151,0)),"NOT IN PALETTE"))</f>
        <v/>
      </c>
      <c r="I150" s="43"/>
      <c r="J150" s="47"/>
      <c r="K150" s="47"/>
      <c r="L150" s="47"/>
      <c r="M150" s="47"/>
      <c r="N150" s="47"/>
      <c r="O150" s="47"/>
      <c r="P150" s="47"/>
      <c r="Q150" s="37" t="str">
        <f aca="false">IF(OR(B150="",G150=""),"",IF(AND(R150&lt;&gt;"",R150=0),"closed",IF(L150="",EDATE(B150,12),IF(M150="",EDATE(B150,24),IF(N150="",EDATE(B150,36),IF(O150="",EDATE(B150,60),IF(P150="",EDATE(B150,120),"done")))))))</f>
        <v/>
      </c>
      <c r="R150" s="47"/>
      <c r="S150" s="12"/>
      <c r="T150" s="12"/>
      <c r="U150" s="43"/>
    </row>
    <row r="151" customFormat="false" ht="15" hidden="false" customHeight="true" outlineLevel="0" collapsed="false">
      <c r="A151" s="43"/>
      <c r="B151" s="81"/>
      <c r="C151" s="12"/>
      <c r="D151" s="47"/>
      <c r="E151" s="47"/>
      <c r="F151" s="12"/>
      <c r="G151" s="12"/>
      <c r="H151" s="47" t="str">
        <f aca="false">IF(G151="","",IFERROR(INDEX(Palette!$K$2:$K$151,MATCH(G151,Palette!$A$2:$A$151,0)),"NOT IN PALETTE"))</f>
        <v/>
      </c>
      <c r="I151" s="43"/>
      <c r="J151" s="47"/>
      <c r="K151" s="47"/>
      <c r="L151" s="47"/>
      <c r="M151" s="47"/>
      <c r="N151" s="47"/>
      <c r="O151" s="47"/>
      <c r="P151" s="47"/>
      <c r="Q151" s="37" t="str">
        <f aca="false">IF(OR(B151="",G151=""),"",IF(AND(R151&lt;&gt;"",R151=0),"closed",IF(L151="",EDATE(B151,12),IF(M151="",EDATE(B151,24),IF(N151="",EDATE(B151,36),IF(O151="",EDATE(B151,60),IF(P151="",EDATE(B151,120),"done")))))))</f>
        <v/>
      </c>
      <c r="R151" s="47"/>
      <c r="S151" s="12"/>
      <c r="T151" s="12"/>
      <c r="U151" s="43"/>
    </row>
    <row r="152" customFormat="false" ht="15" hidden="false" customHeight="true" outlineLevel="0" collapsed="false">
      <c r="A152" s="43"/>
      <c r="B152" s="81"/>
      <c r="C152" s="12"/>
      <c r="D152" s="47"/>
      <c r="E152" s="47"/>
      <c r="F152" s="12"/>
      <c r="G152" s="12"/>
      <c r="H152" s="47" t="str">
        <f aca="false">IF(G152="","",IFERROR(INDEX(Palette!$K$2:$K$151,MATCH(G152,Palette!$A$2:$A$151,0)),"NOT IN PALETTE"))</f>
        <v/>
      </c>
      <c r="I152" s="43"/>
      <c r="J152" s="47"/>
      <c r="K152" s="47"/>
      <c r="L152" s="47"/>
      <c r="M152" s="47"/>
      <c r="N152" s="47"/>
      <c r="O152" s="47"/>
      <c r="P152" s="47"/>
      <c r="Q152" s="37" t="str">
        <f aca="false">IF(OR(B152="",G152=""),"",IF(AND(R152&lt;&gt;"",R152=0),"closed",IF(L152="",EDATE(B152,12),IF(M152="",EDATE(B152,24),IF(N152="",EDATE(B152,36),IF(O152="",EDATE(B152,60),IF(P152="",EDATE(B152,120),"done")))))))</f>
        <v/>
      </c>
      <c r="R152" s="47"/>
      <c r="S152" s="12"/>
      <c r="T152" s="12"/>
      <c r="U152" s="43"/>
    </row>
    <row r="153" customFormat="false" ht="15" hidden="false" customHeight="true" outlineLevel="0" collapsed="false">
      <c r="A153" s="43"/>
      <c r="B153" s="81"/>
      <c r="C153" s="12"/>
      <c r="D153" s="47"/>
      <c r="E153" s="47"/>
      <c r="F153" s="12"/>
      <c r="G153" s="12"/>
      <c r="H153" s="47" t="str">
        <f aca="false">IF(G153="","",IFERROR(INDEX(Palette!$K$2:$K$151,MATCH(G153,Palette!$A$2:$A$151,0)),"NOT IN PALETTE"))</f>
        <v/>
      </c>
      <c r="I153" s="43"/>
      <c r="J153" s="47"/>
      <c r="K153" s="47"/>
      <c r="L153" s="47"/>
      <c r="M153" s="47"/>
      <c r="N153" s="47"/>
      <c r="O153" s="47"/>
      <c r="P153" s="47"/>
      <c r="Q153" s="37" t="str">
        <f aca="false">IF(OR(B153="",G153=""),"",IF(AND(R153&lt;&gt;"",R153=0),"closed",IF(L153="",EDATE(B153,12),IF(M153="",EDATE(B153,24),IF(N153="",EDATE(B153,36),IF(O153="",EDATE(B153,60),IF(P153="",EDATE(B153,120),"done")))))))</f>
        <v/>
      </c>
      <c r="R153" s="47"/>
      <c r="S153" s="12"/>
      <c r="T153" s="12"/>
      <c r="U153" s="43"/>
    </row>
    <row r="154" customFormat="false" ht="15" hidden="false" customHeight="true" outlineLevel="0" collapsed="false">
      <c r="A154" s="43"/>
      <c r="B154" s="81"/>
      <c r="C154" s="12"/>
      <c r="D154" s="47"/>
      <c r="E154" s="47"/>
      <c r="F154" s="12"/>
      <c r="G154" s="12"/>
      <c r="H154" s="47" t="str">
        <f aca="false">IF(G154="","",IFERROR(INDEX(Palette!$K$2:$K$151,MATCH(G154,Palette!$A$2:$A$151,0)),"NOT IN PALETTE"))</f>
        <v/>
      </c>
      <c r="I154" s="43"/>
      <c r="J154" s="47"/>
      <c r="K154" s="47"/>
      <c r="L154" s="47"/>
      <c r="M154" s="47"/>
      <c r="N154" s="47"/>
      <c r="O154" s="47"/>
      <c r="P154" s="47"/>
      <c r="Q154" s="37" t="str">
        <f aca="false">IF(OR(B154="",G154=""),"",IF(AND(R154&lt;&gt;"",R154=0),"closed",IF(L154="",EDATE(B154,12),IF(M154="",EDATE(B154,24),IF(N154="",EDATE(B154,36),IF(O154="",EDATE(B154,60),IF(P154="",EDATE(B154,120),"done")))))))</f>
        <v/>
      </c>
      <c r="R154" s="47"/>
      <c r="S154" s="12"/>
      <c r="T154" s="12"/>
      <c r="U154" s="43"/>
    </row>
    <row r="155" customFormat="false" ht="15" hidden="false" customHeight="true" outlineLevel="0" collapsed="false">
      <c r="A155" s="43"/>
      <c r="B155" s="81"/>
      <c r="C155" s="12"/>
      <c r="D155" s="47"/>
      <c r="E155" s="47"/>
      <c r="F155" s="12"/>
      <c r="G155" s="12"/>
      <c r="H155" s="47" t="str">
        <f aca="false">IF(G155="","",IFERROR(INDEX(Palette!$K$2:$K$151,MATCH(G155,Palette!$A$2:$A$151,0)),"NOT IN PALETTE"))</f>
        <v/>
      </c>
      <c r="I155" s="43"/>
      <c r="J155" s="47"/>
      <c r="K155" s="47"/>
      <c r="L155" s="47"/>
      <c r="M155" s="47"/>
      <c r="N155" s="47"/>
      <c r="O155" s="47"/>
      <c r="P155" s="47"/>
      <c r="Q155" s="37" t="str">
        <f aca="false">IF(OR(B155="",G155=""),"",IF(AND(R155&lt;&gt;"",R155=0),"closed",IF(L155="",EDATE(B155,12),IF(M155="",EDATE(B155,24),IF(N155="",EDATE(B155,36),IF(O155="",EDATE(B155,60),IF(P155="",EDATE(B155,120),"done")))))))</f>
        <v/>
      </c>
      <c r="R155" s="47"/>
      <c r="S155" s="12"/>
      <c r="T155" s="12"/>
      <c r="U155" s="43"/>
    </row>
    <row r="156" customFormat="false" ht="15" hidden="false" customHeight="true" outlineLevel="0" collapsed="false">
      <c r="A156" s="43"/>
      <c r="B156" s="81"/>
      <c r="C156" s="12"/>
      <c r="D156" s="47"/>
      <c r="E156" s="47"/>
      <c r="F156" s="12"/>
      <c r="G156" s="12"/>
      <c r="H156" s="47" t="str">
        <f aca="false">IF(G156="","",IFERROR(INDEX(Palette!$K$2:$K$151,MATCH(G156,Palette!$A$2:$A$151,0)),"NOT IN PALETTE"))</f>
        <v/>
      </c>
      <c r="I156" s="43"/>
      <c r="J156" s="47"/>
      <c r="K156" s="47"/>
      <c r="L156" s="47"/>
      <c r="M156" s="47"/>
      <c r="N156" s="47"/>
      <c r="O156" s="47"/>
      <c r="P156" s="47"/>
      <c r="Q156" s="37" t="str">
        <f aca="false">IF(OR(B156="",G156=""),"",IF(AND(R156&lt;&gt;"",R156=0),"closed",IF(L156="",EDATE(B156,12),IF(M156="",EDATE(B156,24),IF(N156="",EDATE(B156,36),IF(O156="",EDATE(B156,60),IF(P156="",EDATE(B156,120),"done")))))))</f>
        <v/>
      </c>
      <c r="R156" s="47"/>
      <c r="S156" s="12"/>
      <c r="T156" s="12"/>
      <c r="U156" s="43"/>
    </row>
    <row r="157" customFormat="false" ht="15" hidden="false" customHeight="true" outlineLevel="0" collapsed="false">
      <c r="A157" s="43"/>
      <c r="B157" s="81"/>
      <c r="C157" s="12"/>
      <c r="D157" s="47"/>
      <c r="E157" s="47"/>
      <c r="F157" s="12"/>
      <c r="G157" s="12"/>
      <c r="H157" s="47" t="str">
        <f aca="false">IF(G157="","",IFERROR(INDEX(Palette!$K$2:$K$151,MATCH(G157,Palette!$A$2:$A$151,0)),"NOT IN PALETTE"))</f>
        <v/>
      </c>
      <c r="I157" s="43"/>
      <c r="J157" s="47"/>
      <c r="K157" s="47"/>
      <c r="L157" s="47"/>
      <c r="M157" s="47"/>
      <c r="N157" s="47"/>
      <c r="O157" s="47"/>
      <c r="P157" s="47"/>
      <c r="Q157" s="37" t="str">
        <f aca="false">IF(OR(B157="",G157=""),"",IF(AND(R157&lt;&gt;"",R157=0),"closed",IF(L157="",EDATE(B157,12),IF(M157="",EDATE(B157,24),IF(N157="",EDATE(B157,36),IF(O157="",EDATE(B157,60),IF(P157="",EDATE(B157,120),"done")))))))</f>
        <v/>
      </c>
      <c r="R157" s="47"/>
      <c r="S157" s="12"/>
      <c r="T157" s="12"/>
      <c r="U157" s="43"/>
    </row>
    <row r="158" customFormat="false" ht="15" hidden="false" customHeight="true" outlineLevel="0" collapsed="false">
      <c r="A158" s="43"/>
      <c r="B158" s="81"/>
      <c r="C158" s="12"/>
      <c r="D158" s="47"/>
      <c r="E158" s="47"/>
      <c r="F158" s="12"/>
      <c r="G158" s="12"/>
      <c r="H158" s="47" t="str">
        <f aca="false">IF(G158="","",IFERROR(INDEX(Palette!$K$2:$K$151,MATCH(G158,Palette!$A$2:$A$151,0)),"NOT IN PALETTE"))</f>
        <v/>
      </c>
      <c r="I158" s="43"/>
      <c r="J158" s="47"/>
      <c r="K158" s="47"/>
      <c r="L158" s="47"/>
      <c r="M158" s="47"/>
      <c r="N158" s="47"/>
      <c r="O158" s="47"/>
      <c r="P158" s="47"/>
      <c r="Q158" s="37" t="str">
        <f aca="false">IF(OR(B158="",G158=""),"",IF(AND(R158&lt;&gt;"",R158=0),"closed",IF(L158="",EDATE(B158,12),IF(M158="",EDATE(B158,24),IF(N158="",EDATE(B158,36),IF(O158="",EDATE(B158,60),IF(P158="",EDATE(B158,120),"done")))))))</f>
        <v/>
      </c>
      <c r="R158" s="47"/>
      <c r="S158" s="12"/>
      <c r="T158" s="12"/>
      <c r="U158" s="43"/>
    </row>
    <row r="159" customFormat="false" ht="15" hidden="false" customHeight="true" outlineLevel="0" collapsed="false">
      <c r="A159" s="43"/>
      <c r="B159" s="81"/>
      <c r="C159" s="12"/>
      <c r="D159" s="47"/>
      <c r="E159" s="47"/>
      <c r="F159" s="12"/>
      <c r="G159" s="12"/>
      <c r="H159" s="47" t="str">
        <f aca="false">IF(G159="","",IFERROR(INDEX(Palette!$K$2:$K$151,MATCH(G159,Palette!$A$2:$A$151,0)),"NOT IN PALETTE"))</f>
        <v/>
      </c>
      <c r="I159" s="43"/>
      <c r="J159" s="47"/>
      <c r="K159" s="47"/>
      <c r="L159" s="47"/>
      <c r="M159" s="47"/>
      <c r="N159" s="47"/>
      <c r="O159" s="47"/>
      <c r="P159" s="47"/>
      <c r="Q159" s="37" t="str">
        <f aca="false">IF(OR(B159="",G159=""),"",IF(AND(R159&lt;&gt;"",R159=0),"closed",IF(L159="",EDATE(B159,12),IF(M159="",EDATE(B159,24),IF(N159="",EDATE(B159,36),IF(O159="",EDATE(B159,60),IF(P159="",EDATE(B159,120),"done")))))))</f>
        <v/>
      </c>
      <c r="R159" s="47"/>
      <c r="S159" s="12"/>
      <c r="T159" s="12"/>
      <c r="U159" s="43"/>
    </row>
    <row r="160" customFormat="false" ht="15" hidden="false" customHeight="true" outlineLevel="0" collapsed="false">
      <c r="A160" s="43"/>
      <c r="B160" s="81"/>
      <c r="C160" s="12"/>
      <c r="D160" s="47"/>
      <c r="E160" s="47"/>
      <c r="F160" s="12"/>
      <c r="G160" s="12"/>
      <c r="H160" s="47" t="str">
        <f aca="false">IF(G160="","",IFERROR(INDEX(Palette!$K$2:$K$151,MATCH(G160,Palette!$A$2:$A$151,0)),"NOT IN PALETTE"))</f>
        <v/>
      </c>
      <c r="I160" s="43"/>
      <c r="J160" s="47"/>
      <c r="K160" s="47"/>
      <c r="L160" s="47"/>
      <c r="M160" s="47"/>
      <c r="N160" s="47"/>
      <c r="O160" s="47"/>
      <c r="P160" s="47"/>
      <c r="Q160" s="37" t="str">
        <f aca="false">IF(OR(B160="",G160=""),"",IF(AND(R160&lt;&gt;"",R160=0),"closed",IF(L160="",EDATE(B160,12),IF(M160="",EDATE(B160,24),IF(N160="",EDATE(B160,36),IF(O160="",EDATE(B160,60),IF(P160="",EDATE(B160,120),"done")))))))</f>
        <v/>
      </c>
      <c r="R160" s="47"/>
      <c r="S160" s="12"/>
      <c r="T160" s="12"/>
      <c r="U160" s="43"/>
    </row>
    <row r="161" customFormat="false" ht="15" hidden="false" customHeight="true" outlineLevel="0" collapsed="false">
      <c r="A161" s="43"/>
      <c r="B161" s="81"/>
      <c r="C161" s="12"/>
      <c r="D161" s="47"/>
      <c r="E161" s="47"/>
      <c r="F161" s="12"/>
      <c r="G161" s="12"/>
      <c r="H161" s="47" t="str">
        <f aca="false">IF(G161="","",IFERROR(INDEX(Palette!$K$2:$K$151,MATCH(G161,Palette!$A$2:$A$151,0)),"NOT IN PALETTE"))</f>
        <v/>
      </c>
      <c r="I161" s="43"/>
      <c r="J161" s="47"/>
      <c r="K161" s="47"/>
      <c r="L161" s="47"/>
      <c r="M161" s="47"/>
      <c r="N161" s="47"/>
      <c r="O161" s="47"/>
      <c r="P161" s="47"/>
      <c r="Q161" s="37" t="str">
        <f aca="false">IF(OR(B161="",G161=""),"",IF(AND(R161&lt;&gt;"",R161=0),"closed",IF(L161="",EDATE(B161,12),IF(M161="",EDATE(B161,24),IF(N161="",EDATE(B161,36),IF(O161="",EDATE(B161,60),IF(P161="",EDATE(B161,120),"done")))))))</f>
        <v/>
      </c>
      <c r="R161" s="47"/>
      <c r="S161" s="12"/>
      <c r="T161" s="12"/>
      <c r="U161" s="43"/>
    </row>
    <row r="162" customFormat="false" ht="15" hidden="false" customHeight="true" outlineLevel="0" collapsed="false">
      <c r="A162" s="43"/>
      <c r="B162" s="81"/>
      <c r="C162" s="12"/>
      <c r="D162" s="47"/>
      <c r="E162" s="47"/>
      <c r="F162" s="12"/>
      <c r="G162" s="12"/>
      <c r="H162" s="47" t="str">
        <f aca="false">IF(G162="","",IFERROR(INDEX(Palette!$K$2:$K$151,MATCH(G162,Palette!$A$2:$A$151,0)),"NOT IN PALETTE"))</f>
        <v/>
      </c>
      <c r="I162" s="43"/>
      <c r="J162" s="47"/>
      <c r="K162" s="47"/>
      <c r="L162" s="47"/>
      <c r="M162" s="47"/>
      <c r="N162" s="47"/>
      <c r="O162" s="47"/>
      <c r="P162" s="47"/>
      <c r="Q162" s="37" t="str">
        <f aca="false">IF(OR(B162="",G162=""),"",IF(AND(R162&lt;&gt;"",R162=0),"closed",IF(L162="",EDATE(B162,12),IF(M162="",EDATE(B162,24),IF(N162="",EDATE(B162,36),IF(O162="",EDATE(B162,60),IF(P162="",EDATE(B162,120),"done")))))))</f>
        <v/>
      </c>
      <c r="R162" s="47"/>
      <c r="S162" s="12"/>
      <c r="T162" s="12"/>
      <c r="U162" s="43"/>
    </row>
    <row r="163" customFormat="false" ht="15" hidden="false" customHeight="true" outlineLevel="0" collapsed="false">
      <c r="A163" s="43"/>
      <c r="B163" s="81"/>
      <c r="C163" s="12"/>
      <c r="D163" s="47"/>
      <c r="E163" s="47"/>
      <c r="F163" s="12"/>
      <c r="G163" s="12"/>
      <c r="H163" s="47" t="str">
        <f aca="false">IF(G163="","",IFERROR(INDEX(Palette!$K$2:$K$151,MATCH(G163,Palette!$A$2:$A$151,0)),"NOT IN PALETTE"))</f>
        <v/>
      </c>
      <c r="I163" s="43"/>
      <c r="J163" s="47"/>
      <c r="K163" s="47"/>
      <c r="L163" s="47"/>
      <c r="M163" s="47"/>
      <c r="N163" s="47"/>
      <c r="O163" s="47"/>
      <c r="P163" s="47"/>
      <c r="Q163" s="37" t="str">
        <f aca="false">IF(OR(B163="",G163=""),"",IF(AND(R163&lt;&gt;"",R163=0),"closed",IF(L163="",EDATE(B163,12),IF(M163="",EDATE(B163,24),IF(N163="",EDATE(B163,36),IF(O163="",EDATE(B163,60),IF(P163="",EDATE(B163,120),"done")))))))</f>
        <v/>
      </c>
      <c r="R163" s="47"/>
      <c r="S163" s="12"/>
      <c r="T163" s="12"/>
      <c r="U163" s="43"/>
    </row>
    <row r="164" customFormat="false" ht="15" hidden="false" customHeight="true" outlineLevel="0" collapsed="false">
      <c r="A164" s="43"/>
      <c r="B164" s="81"/>
      <c r="C164" s="12"/>
      <c r="D164" s="47"/>
      <c r="E164" s="47"/>
      <c r="F164" s="12"/>
      <c r="G164" s="12"/>
      <c r="H164" s="47" t="str">
        <f aca="false">IF(G164="","",IFERROR(INDEX(Palette!$K$2:$K$151,MATCH(G164,Palette!$A$2:$A$151,0)),"NOT IN PALETTE"))</f>
        <v/>
      </c>
      <c r="I164" s="43"/>
      <c r="J164" s="47"/>
      <c r="K164" s="47"/>
      <c r="L164" s="47"/>
      <c r="M164" s="47"/>
      <c r="N164" s="47"/>
      <c r="O164" s="47"/>
      <c r="P164" s="47"/>
      <c r="Q164" s="37" t="str">
        <f aca="false">IF(OR(B164="",G164=""),"",IF(AND(R164&lt;&gt;"",R164=0),"closed",IF(L164="",EDATE(B164,12),IF(M164="",EDATE(B164,24),IF(N164="",EDATE(B164,36),IF(O164="",EDATE(B164,60),IF(P164="",EDATE(B164,120),"done")))))))</f>
        <v/>
      </c>
      <c r="R164" s="47"/>
      <c r="S164" s="12"/>
      <c r="T164" s="12"/>
      <c r="U164" s="43"/>
    </row>
    <row r="165" customFormat="false" ht="15" hidden="false" customHeight="true" outlineLevel="0" collapsed="false">
      <c r="A165" s="43"/>
      <c r="B165" s="81"/>
      <c r="C165" s="12"/>
      <c r="D165" s="47"/>
      <c r="E165" s="47"/>
      <c r="F165" s="12"/>
      <c r="G165" s="12"/>
      <c r="H165" s="47" t="str">
        <f aca="false">IF(G165="","",IFERROR(INDEX(Palette!$K$2:$K$151,MATCH(G165,Palette!$A$2:$A$151,0)),"NOT IN PALETTE"))</f>
        <v/>
      </c>
      <c r="I165" s="43"/>
      <c r="J165" s="47"/>
      <c r="K165" s="47"/>
      <c r="L165" s="47"/>
      <c r="M165" s="47"/>
      <c r="N165" s="47"/>
      <c r="O165" s="47"/>
      <c r="P165" s="47"/>
      <c r="Q165" s="37" t="str">
        <f aca="false">IF(OR(B165="",G165=""),"",IF(AND(R165&lt;&gt;"",R165=0),"closed",IF(L165="",EDATE(B165,12),IF(M165="",EDATE(B165,24),IF(N165="",EDATE(B165,36),IF(O165="",EDATE(B165,60),IF(P165="",EDATE(B165,120),"done")))))))</f>
        <v/>
      </c>
      <c r="R165" s="47"/>
      <c r="S165" s="12"/>
      <c r="T165" s="12"/>
      <c r="U165" s="43"/>
    </row>
    <row r="166" customFormat="false" ht="15" hidden="false" customHeight="true" outlineLevel="0" collapsed="false">
      <c r="A166" s="43"/>
      <c r="B166" s="81"/>
      <c r="C166" s="12"/>
      <c r="D166" s="47"/>
      <c r="E166" s="47"/>
      <c r="F166" s="12"/>
      <c r="G166" s="12"/>
      <c r="H166" s="47" t="str">
        <f aca="false">IF(G166="","",IFERROR(INDEX(Palette!$K$2:$K$151,MATCH(G166,Palette!$A$2:$A$151,0)),"NOT IN PALETTE"))</f>
        <v/>
      </c>
      <c r="I166" s="43"/>
      <c r="J166" s="47"/>
      <c r="K166" s="47"/>
      <c r="L166" s="47"/>
      <c r="M166" s="47"/>
      <c r="N166" s="47"/>
      <c r="O166" s="47"/>
      <c r="P166" s="47"/>
      <c r="Q166" s="37" t="str">
        <f aca="false">IF(OR(B166="",G166=""),"",IF(AND(R166&lt;&gt;"",R166=0),"closed",IF(L166="",EDATE(B166,12),IF(M166="",EDATE(B166,24),IF(N166="",EDATE(B166,36),IF(O166="",EDATE(B166,60),IF(P166="",EDATE(B166,120),"done")))))))</f>
        <v/>
      </c>
      <c r="R166" s="47"/>
      <c r="S166" s="12"/>
      <c r="T166" s="12"/>
      <c r="U166" s="43"/>
    </row>
    <row r="167" customFormat="false" ht="15" hidden="false" customHeight="true" outlineLevel="0" collapsed="false">
      <c r="A167" s="43"/>
      <c r="B167" s="81"/>
      <c r="C167" s="12"/>
      <c r="D167" s="47"/>
      <c r="E167" s="47"/>
      <c r="F167" s="12"/>
      <c r="G167" s="12"/>
      <c r="H167" s="47" t="str">
        <f aca="false">IF(G167="","",IFERROR(INDEX(Palette!$K$2:$K$151,MATCH(G167,Palette!$A$2:$A$151,0)),"NOT IN PALETTE"))</f>
        <v/>
      </c>
      <c r="I167" s="43"/>
      <c r="J167" s="47"/>
      <c r="K167" s="47"/>
      <c r="L167" s="47"/>
      <c r="M167" s="47"/>
      <c r="N167" s="47"/>
      <c r="O167" s="47"/>
      <c r="P167" s="47"/>
      <c r="Q167" s="37" t="str">
        <f aca="false">IF(OR(B167="",G167=""),"",IF(AND(R167&lt;&gt;"",R167=0),"closed",IF(L167="",EDATE(B167,12),IF(M167="",EDATE(B167,24),IF(N167="",EDATE(B167,36),IF(O167="",EDATE(B167,60),IF(P167="",EDATE(B167,120),"done")))))))</f>
        <v/>
      </c>
      <c r="R167" s="47"/>
      <c r="S167" s="12"/>
      <c r="T167" s="12"/>
      <c r="U167" s="43"/>
    </row>
    <row r="168" customFormat="false" ht="15" hidden="false" customHeight="true" outlineLevel="0" collapsed="false">
      <c r="A168" s="43"/>
      <c r="B168" s="81"/>
      <c r="C168" s="12"/>
      <c r="D168" s="47"/>
      <c r="E168" s="47"/>
      <c r="F168" s="12"/>
      <c r="G168" s="12"/>
      <c r="H168" s="47" t="str">
        <f aca="false">IF(G168="","",IFERROR(INDEX(Palette!$K$2:$K$151,MATCH(G168,Palette!$A$2:$A$151,0)),"NOT IN PALETTE"))</f>
        <v/>
      </c>
      <c r="I168" s="43"/>
      <c r="J168" s="47"/>
      <c r="K168" s="47"/>
      <c r="L168" s="47"/>
      <c r="M168" s="47"/>
      <c r="N168" s="47"/>
      <c r="O168" s="47"/>
      <c r="P168" s="47"/>
      <c r="Q168" s="37" t="str">
        <f aca="false">IF(OR(B168="",G168=""),"",IF(AND(R168&lt;&gt;"",R168=0),"closed",IF(L168="",EDATE(B168,12),IF(M168="",EDATE(B168,24),IF(N168="",EDATE(B168,36),IF(O168="",EDATE(B168,60),IF(P168="",EDATE(B168,120),"done")))))))</f>
        <v/>
      </c>
      <c r="R168" s="47"/>
      <c r="S168" s="12"/>
      <c r="T168" s="12"/>
      <c r="U168" s="43"/>
    </row>
    <row r="169" customFormat="false" ht="15" hidden="false" customHeight="true" outlineLevel="0" collapsed="false">
      <c r="A169" s="43"/>
      <c r="B169" s="81"/>
      <c r="C169" s="12"/>
      <c r="D169" s="47"/>
      <c r="E169" s="47"/>
      <c r="F169" s="12"/>
      <c r="G169" s="12"/>
      <c r="H169" s="47" t="str">
        <f aca="false">IF(G169="","",IFERROR(INDEX(Palette!$K$2:$K$151,MATCH(G169,Palette!$A$2:$A$151,0)),"NOT IN PALETTE"))</f>
        <v/>
      </c>
      <c r="I169" s="43"/>
      <c r="J169" s="47"/>
      <c r="K169" s="47"/>
      <c r="L169" s="47"/>
      <c r="M169" s="47"/>
      <c r="N169" s="47"/>
      <c r="O169" s="47"/>
      <c r="P169" s="47"/>
      <c r="Q169" s="37" t="str">
        <f aca="false">IF(OR(B169="",G169=""),"",IF(AND(R169&lt;&gt;"",R169=0),"closed",IF(L169="",EDATE(B169,12),IF(M169="",EDATE(B169,24),IF(N169="",EDATE(B169,36),IF(O169="",EDATE(B169,60),IF(P169="",EDATE(B169,120),"done")))))))</f>
        <v/>
      </c>
      <c r="R169" s="47"/>
      <c r="S169" s="12"/>
      <c r="T169" s="12"/>
      <c r="U169" s="43"/>
    </row>
    <row r="170" customFormat="false" ht="15" hidden="false" customHeight="true" outlineLevel="0" collapsed="false">
      <c r="A170" s="43"/>
      <c r="B170" s="81"/>
      <c r="C170" s="12"/>
      <c r="D170" s="47"/>
      <c r="E170" s="47"/>
      <c r="F170" s="12"/>
      <c r="G170" s="12"/>
      <c r="H170" s="47" t="str">
        <f aca="false">IF(G170="","",IFERROR(INDEX(Palette!$K$2:$K$151,MATCH(G170,Palette!$A$2:$A$151,0)),"NOT IN PALETTE"))</f>
        <v/>
      </c>
      <c r="I170" s="43"/>
      <c r="J170" s="47"/>
      <c r="K170" s="47"/>
      <c r="L170" s="47"/>
      <c r="M170" s="47"/>
      <c r="N170" s="47"/>
      <c r="O170" s="47"/>
      <c r="P170" s="47"/>
      <c r="Q170" s="37" t="str">
        <f aca="false">IF(OR(B170="",G170=""),"",IF(AND(R170&lt;&gt;"",R170=0),"closed",IF(L170="",EDATE(B170,12),IF(M170="",EDATE(B170,24),IF(N170="",EDATE(B170,36),IF(O170="",EDATE(B170,60),IF(P170="",EDATE(B170,120),"done")))))))</f>
        <v/>
      </c>
      <c r="R170" s="47"/>
      <c r="S170" s="12"/>
      <c r="T170" s="12"/>
      <c r="U170" s="43"/>
    </row>
    <row r="171" customFormat="false" ht="15" hidden="false" customHeight="true" outlineLevel="0" collapsed="false">
      <c r="A171" s="43"/>
      <c r="B171" s="81"/>
      <c r="C171" s="12"/>
      <c r="D171" s="47"/>
      <c r="E171" s="47"/>
      <c r="F171" s="12"/>
      <c r="G171" s="12"/>
      <c r="H171" s="47" t="str">
        <f aca="false">IF(G171="","",IFERROR(INDEX(Palette!$K$2:$K$151,MATCH(G171,Palette!$A$2:$A$151,0)),"NOT IN PALETTE"))</f>
        <v/>
      </c>
      <c r="I171" s="43"/>
      <c r="J171" s="47"/>
      <c r="K171" s="47"/>
      <c r="L171" s="47"/>
      <c r="M171" s="47"/>
      <c r="N171" s="47"/>
      <c r="O171" s="47"/>
      <c r="P171" s="47"/>
      <c r="Q171" s="37" t="str">
        <f aca="false">IF(OR(B171="",G171=""),"",IF(AND(R171&lt;&gt;"",R171=0),"closed",IF(L171="",EDATE(B171,12),IF(M171="",EDATE(B171,24),IF(N171="",EDATE(B171,36),IF(O171="",EDATE(B171,60),IF(P171="",EDATE(B171,120),"done")))))))</f>
        <v/>
      </c>
      <c r="R171" s="47"/>
      <c r="S171" s="12"/>
      <c r="T171" s="12"/>
      <c r="U171" s="43"/>
    </row>
    <row r="172" customFormat="false" ht="15" hidden="false" customHeight="true" outlineLevel="0" collapsed="false">
      <c r="A172" s="43"/>
      <c r="B172" s="81"/>
      <c r="C172" s="12"/>
      <c r="D172" s="47"/>
      <c r="E172" s="47"/>
      <c r="F172" s="12"/>
      <c r="G172" s="12"/>
      <c r="H172" s="47" t="str">
        <f aca="false">IF(G172="","",IFERROR(INDEX(Palette!$K$2:$K$151,MATCH(G172,Palette!$A$2:$A$151,0)),"NOT IN PALETTE"))</f>
        <v/>
      </c>
      <c r="I172" s="43"/>
      <c r="J172" s="47"/>
      <c r="K172" s="47"/>
      <c r="L172" s="47"/>
      <c r="M172" s="47"/>
      <c r="N172" s="47"/>
      <c r="O172" s="47"/>
      <c r="P172" s="47"/>
      <c r="Q172" s="37" t="str">
        <f aca="false">IF(OR(B172="",G172=""),"",IF(AND(R172&lt;&gt;"",R172=0),"closed",IF(L172="",EDATE(B172,12),IF(M172="",EDATE(B172,24),IF(N172="",EDATE(B172,36),IF(O172="",EDATE(B172,60),IF(P172="",EDATE(B172,120),"done")))))))</f>
        <v/>
      </c>
      <c r="R172" s="47"/>
      <c r="S172" s="12"/>
      <c r="T172" s="12"/>
      <c r="U172" s="43"/>
    </row>
    <row r="173" customFormat="false" ht="15" hidden="false" customHeight="true" outlineLevel="0" collapsed="false">
      <c r="A173" s="43"/>
      <c r="B173" s="81"/>
      <c r="C173" s="12"/>
      <c r="D173" s="47"/>
      <c r="E173" s="47"/>
      <c r="F173" s="12"/>
      <c r="G173" s="12"/>
      <c r="H173" s="47" t="str">
        <f aca="false">IF(G173="","",IFERROR(INDEX(Palette!$K$2:$K$151,MATCH(G173,Palette!$A$2:$A$151,0)),"NOT IN PALETTE"))</f>
        <v/>
      </c>
      <c r="I173" s="43"/>
      <c r="J173" s="47"/>
      <c r="K173" s="47"/>
      <c r="L173" s="47"/>
      <c r="M173" s="47"/>
      <c r="N173" s="47"/>
      <c r="O173" s="47"/>
      <c r="P173" s="47"/>
      <c r="Q173" s="37" t="str">
        <f aca="false">IF(OR(B173="",G173=""),"",IF(AND(R173&lt;&gt;"",R173=0),"closed",IF(L173="",EDATE(B173,12),IF(M173="",EDATE(B173,24),IF(N173="",EDATE(B173,36),IF(O173="",EDATE(B173,60),IF(P173="",EDATE(B173,120),"done")))))))</f>
        <v/>
      </c>
      <c r="R173" s="47"/>
      <c r="S173" s="12"/>
      <c r="T173" s="12"/>
      <c r="U173" s="43"/>
    </row>
    <row r="174" customFormat="false" ht="15" hidden="false" customHeight="true" outlineLevel="0" collapsed="false">
      <c r="A174" s="43"/>
      <c r="B174" s="81"/>
      <c r="C174" s="12"/>
      <c r="D174" s="47"/>
      <c r="E174" s="47"/>
      <c r="F174" s="12"/>
      <c r="G174" s="12"/>
      <c r="H174" s="47" t="str">
        <f aca="false">IF(G174="","",IFERROR(INDEX(Palette!$K$2:$K$151,MATCH(G174,Palette!$A$2:$A$151,0)),"NOT IN PALETTE"))</f>
        <v/>
      </c>
      <c r="I174" s="43"/>
      <c r="J174" s="47"/>
      <c r="K174" s="47"/>
      <c r="L174" s="47"/>
      <c r="M174" s="47"/>
      <c r="N174" s="47"/>
      <c r="O174" s="47"/>
      <c r="P174" s="47"/>
      <c r="Q174" s="37" t="str">
        <f aca="false">IF(OR(B174="",G174=""),"",IF(AND(R174&lt;&gt;"",R174=0),"closed",IF(L174="",EDATE(B174,12),IF(M174="",EDATE(B174,24),IF(N174="",EDATE(B174,36),IF(O174="",EDATE(B174,60),IF(P174="",EDATE(B174,120),"done")))))))</f>
        <v/>
      </c>
      <c r="R174" s="47"/>
      <c r="S174" s="12"/>
      <c r="T174" s="12"/>
      <c r="U174" s="43"/>
    </row>
    <row r="175" customFormat="false" ht="15" hidden="false" customHeight="true" outlineLevel="0" collapsed="false">
      <c r="A175" s="43"/>
      <c r="B175" s="81"/>
      <c r="C175" s="12"/>
      <c r="D175" s="47"/>
      <c r="E175" s="47"/>
      <c r="F175" s="12"/>
      <c r="G175" s="12"/>
      <c r="H175" s="47" t="str">
        <f aca="false">IF(G175="","",IFERROR(INDEX(Palette!$K$2:$K$151,MATCH(G175,Palette!$A$2:$A$151,0)),"NOT IN PALETTE"))</f>
        <v/>
      </c>
      <c r="I175" s="43"/>
      <c r="J175" s="47"/>
      <c r="K175" s="47"/>
      <c r="L175" s="47"/>
      <c r="M175" s="47"/>
      <c r="N175" s="47"/>
      <c r="O175" s="47"/>
      <c r="P175" s="47"/>
      <c r="Q175" s="37" t="str">
        <f aca="false">IF(OR(B175="",G175=""),"",IF(AND(R175&lt;&gt;"",R175=0),"closed",IF(L175="",EDATE(B175,12),IF(M175="",EDATE(B175,24),IF(N175="",EDATE(B175,36),IF(O175="",EDATE(B175,60),IF(P175="",EDATE(B175,120),"done")))))))</f>
        <v/>
      </c>
      <c r="R175" s="47"/>
      <c r="S175" s="12"/>
      <c r="T175" s="12"/>
      <c r="U175" s="43"/>
    </row>
    <row r="176" customFormat="false" ht="15" hidden="false" customHeight="true" outlineLevel="0" collapsed="false">
      <c r="A176" s="43"/>
      <c r="B176" s="81"/>
      <c r="C176" s="12"/>
      <c r="D176" s="47"/>
      <c r="E176" s="47"/>
      <c r="F176" s="12"/>
      <c r="G176" s="12"/>
      <c r="H176" s="47" t="str">
        <f aca="false">IF(G176="","",IFERROR(INDEX(Palette!$K$2:$K$151,MATCH(G176,Palette!$A$2:$A$151,0)),"NOT IN PALETTE"))</f>
        <v/>
      </c>
      <c r="I176" s="43"/>
      <c r="J176" s="47"/>
      <c r="K176" s="47"/>
      <c r="L176" s="47"/>
      <c r="M176" s="47"/>
      <c r="N176" s="47"/>
      <c r="O176" s="47"/>
      <c r="P176" s="47"/>
      <c r="Q176" s="37" t="str">
        <f aca="false">IF(OR(B176="",G176=""),"",IF(AND(R176&lt;&gt;"",R176=0),"closed",IF(L176="",EDATE(B176,12),IF(M176="",EDATE(B176,24),IF(N176="",EDATE(B176,36),IF(O176="",EDATE(B176,60),IF(P176="",EDATE(B176,120),"done")))))))</f>
        <v/>
      </c>
      <c r="R176" s="47"/>
      <c r="S176" s="12"/>
      <c r="T176" s="12"/>
      <c r="U176" s="43"/>
    </row>
    <row r="177" customFormat="false" ht="15" hidden="false" customHeight="true" outlineLevel="0" collapsed="false">
      <c r="A177" s="43"/>
      <c r="B177" s="81"/>
      <c r="C177" s="12"/>
      <c r="D177" s="47"/>
      <c r="E177" s="47"/>
      <c r="F177" s="12"/>
      <c r="G177" s="12"/>
      <c r="H177" s="47" t="str">
        <f aca="false">IF(G177="","",IFERROR(INDEX(Palette!$K$2:$K$151,MATCH(G177,Palette!$A$2:$A$151,0)),"NOT IN PALETTE"))</f>
        <v/>
      </c>
      <c r="I177" s="43"/>
      <c r="J177" s="47"/>
      <c r="K177" s="47"/>
      <c r="L177" s="47"/>
      <c r="M177" s="47"/>
      <c r="N177" s="47"/>
      <c r="O177" s="47"/>
      <c r="P177" s="47"/>
      <c r="Q177" s="37" t="str">
        <f aca="false">IF(OR(B177="",G177=""),"",IF(AND(R177&lt;&gt;"",R177=0),"closed",IF(L177="",EDATE(B177,12),IF(M177="",EDATE(B177,24),IF(N177="",EDATE(B177,36),IF(O177="",EDATE(B177,60),IF(P177="",EDATE(B177,120),"done")))))))</f>
        <v/>
      </c>
      <c r="R177" s="47"/>
      <c r="S177" s="12"/>
      <c r="T177" s="12"/>
      <c r="U177" s="43"/>
    </row>
    <row r="178" customFormat="false" ht="15" hidden="false" customHeight="true" outlineLevel="0" collapsed="false">
      <c r="A178" s="43"/>
      <c r="B178" s="81"/>
      <c r="C178" s="12"/>
      <c r="D178" s="47"/>
      <c r="E178" s="47"/>
      <c r="F178" s="12"/>
      <c r="G178" s="12"/>
      <c r="H178" s="47" t="str">
        <f aca="false">IF(G178="","",IFERROR(INDEX(Palette!$K$2:$K$151,MATCH(G178,Palette!$A$2:$A$151,0)),"NOT IN PALETTE"))</f>
        <v/>
      </c>
      <c r="I178" s="43"/>
      <c r="J178" s="47"/>
      <c r="K178" s="47"/>
      <c r="L178" s="47"/>
      <c r="M178" s="47"/>
      <c r="N178" s="47"/>
      <c r="O178" s="47"/>
      <c r="P178" s="47"/>
      <c r="Q178" s="37" t="str">
        <f aca="false">IF(OR(B178="",G178=""),"",IF(AND(R178&lt;&gt;"",R178=0),"closed",IF(L178="",EDATE(B178,12),IF(M178="",EDATE(B178,24),IF(N178="",EDATE(B178,36),IF(O178="",EDATE(B178,60),IF(P178="",EDATE(B178,120),"done")))))))</f>
        <v/>
      </c>
      <c r="R178" s="47"/>
      <c r="S178" s="12"/>
      <c r="T178" s="12"/>
      <c r="U178" s="43"/>
    </row>
    <row r="179" customFormat="false" ht="15" hidden="false" customHeight="true" outlineLevel="0" collapsed="false">
      <c r="A179" s="43"/>
      <c r="B179" s="81"/>
      <c r="C179" s="12"/>
      <c r="D179" s="47"/>
      <c r="E179" s="47"/>
      <c r="F179" s="12"/>
      <c r="G179" s="12"/>
      <c r="H179" s="47" t="str">
        <f aca="false">IF(G179="","",IFERROR(INDEX(Palette!$K$2:$K$151,MATCH(G179,Palette!$A$2:$A$151,0)),"NOT IN PALETTE"))</f>
        <v/>
      </c>
      <c r="I179" s="43"/>
      <c r="J179" s="47"/>
      <c r="K179" s="47"/>
      <c r="L179" s="47"/>
      <c r="M179" s="47"/>
      <c r="N179" s="47"/>
      <c r="O179" s="47"/>
      <c r="P179" s="47"/>
      <c r="Q179" s="37" t="str">
        <f aca="false">IF(OR(B179="",G179=""),"",IF(AND(R179&lt;&gt;"",R179=0),"closed",IF(L179="",EDATE(B179,12),IF(M179="",EDATE(B179,24),IF(N179="",EDATE(B179,36),IF(O179="",EDATE(B179,60),IF(P179="",EDATE(B179,120),"done")))))))</f>
        <v/>
      </c>
      <c r="R179" s="47"/>
      <c r="S179" s="12"/>
      <c r="T179" s="12"/>
      <c r="U179" s="43"/>
    </row>
    <row r="180" customFormat="false" ht="15" hidden="false" customHeight="true" outlineLevel="0" collapsed="false">
      <c r="A180" s="43"/>
      <c r="B180" s="81"/>
      <c r="C180" s="12"/>
      <c r="D180" s="47"/>
      <c r="E180" s="47"/>
      <c r="F180" s="12"/>
      <c r="G180" s="12"/>
      <c r="H180" s="47" t="str">
        <f aca="false">IF(G180="","",IFERROR(INDEX(Palette!$K$2:$K$151,MATCH(G180,Palette!$A$2:$A$151,0)),"NOT IN PALETTE"))</f>
        <v/>
      </c>
      <c r="I180" s="43"/>
      <c r="J180" s="47"/>
      <c r="K180" s="47"/>
      <c r="L180" s="47"/>
      <c r="M180" s="47"/>
      <c r="N180" s="47"/>
      <c r="O180" s="47"/>
      <c r="P180" s="47"/>
      <c r="Q180" s="37" t="str">
        <f aca="false">IF(OR(B180="",G180=""),"",IF(AND(R180&lt;&gt;"",R180=0),"closed",IF(L180="",EDATE(B180,12),IF(M180="",EDATE(B180,24),IF(N180="",EDATE(B180,36),IF(O180="",EDATE(B180,60),IF(P180="",EDATE(B180,120),"done")))))))</f>
        <v/>
      </c>
      <c r="R180" s="47"/>
      <c r="S180" s="12"/>
      <c r="T180" s="12"/>
      <c r="U180" s="43"/>
    </row>
    <row r="181" customFormat="false" ht="15" hidden="false" customHeight="true" outlineLevel="0" collapsed="false">
      <c r="A181" s="43"/>
      <c r="B181" s="81"/>
      <c r="C181" s="12"/>
      <c r="D181" s="47"/>
      <c r="E181" s="47"/>
      <c r="F181" s="12"/>
      <c r="G181" s="12"/>
      <c r="H181" s="47" t="str">
        <f aca="false">IF(G181="","",IFERROR(INDEX(Palette!$K$2:$K$151,MATCH(G181,Palette!$A$2:$A$151,0)),"NOT IN PALETTE"))</f>
        <v/>
      </c>
      <c r="I181" s="43"/>
      <c r="J181" s="47"/>
      <c r="K181" s="47"/>
      <c r="L181" s="47"/>
      <c r="M181" s="47"/>
      <c r="N181" s="47"/>
      <c r="O181" s="47"/>
      <c r="P181" s="47"/>
      <c r="Q181" s="37" t="str">
        <f aca="false">IF(OR(B181="",G181=""),"",IF(AND(R181&lt;&gt;"",R181=0),"closed",IF(L181="",EDATE(B181,12),IF(M181="",EDATE(B181,24),IF(N181="",EDATE(B181,36),IF(O181="",EDATE(B181,60),IF(P181="",EDATE(B181,120),"done")))))))</f>
        <v/>
      </c>
      <c r="R181" s="47"/>
      <c r="S181" s="12"/>
      <c r="T181" s="12"/>
      <c r="U181" s="43"/>
    </row>
    <row r="182" customFormat="false" ht="15" hidden="false" customHeight="true" outlineLevel="0" collapsed="false">
      <c r="A182" s="43"/>
      <c r="B182" s="81"/>
      <c r="C182" s="12"/>
      <c r="D182" s="47"/>
      <c r="E182" s="47"/>
      <c r="F182" s="12"/>
      <c r="G182" s="12"/>
      <c r="H182" s="47" t="str">
        <f aca="false">IF(G182="","",IFERROR(INDEX(Palette!$K$2:$K$151,MATCH(G182,Palette!$A$2:$A$151,0)),"NOT IN PALETTE"))</f>
        <v/>
      </c>
      <c r="I182" s="43"/>
      <c r="J182" s="47"/>
      <c r="K182" s="47"/>
      <c r="L182" s="47"/>
      <c r="M182" s="47"/>
      <c r="N182" s="47"/>
      <c r="O182" s="47"/>
      <c r="P182" s="47"/>
      <c r="Q182" s="37" t="str">
        <f aca="false">IF(OR(B182="",G182=""),"",IF(AND(R182&lt;&gt;"",R182=0),"closed",IF(L182="",EDATE(B182,12),IF(M182="",EDATE(B182,24),IF(N182="",EDATE(B182,36),IF(O182="",EDATE(B182,60),IF(P182="",EDATE(B182,120),"done")))))))</f>
        <v/>
      </c>
      <c r="R182" s="47"/>
      <c r="S182" s="12"/>
      <c r="T182" s="12"/>
      <c r="U182" s="43"/>
    </row>
    <row r="183" customFormat="false" ht="15" hidden="false" customHeight="true" outlineLevel="0" collapsed="false">
      <c r="A183" s="43"/>
      <c r="B183" s="81"/>
      <c r="C183" s="12"/>
      <c r="D183" s="47"/>
      <c r="E183" s="47"/>
      <c r="F183" s="12"/>
      <c r="G183" s="12"/>
      <c r="H183" s="47" t="str">
        <f aca="false">IF(G183="","",IFERROR(INDEX(Palette!$K$2:$K$151,MATCH(G183,Palette!$A$2:$A$151,0)),"NOT IN PALETTE"))</f>
        <v/>
      </c>
      <c r="I183" s="43"/>
      <c r="J183" s="47"/>
      <c r="K183" s="47"/>
      <c r="L183" s="47"/>
      <c r="M183" s="47"/>
      <c r="N183" s="47"/>
      <c r="O183" s="47"/>
      <c r="P183" s="47"/>
      <c r="Q183" s="37" t="str">
        <f aca="false">IF(OR(B183="",G183=""),"",IF(AND(R183&lt;&gt;"",R183=0),"closed",IF(L183="",EDATE(B183,12),IF(M183="",EDATE(B183,24),IF(N183="",EDATE(B183,36),IF(O183="",EDATE(B183,60),IF(P183="",EDATE(B183,120),"done")))))))</f>
        <v/>
      </c>
      <c r="R183" s="47"/>
      <c r="S183" s="12"/>
      <c r="T183" s="12"/>
      <c r="U183" s="43"/>
    </row>
    <row r="184" customFormat="false" ht="15" hidden="false" customHeight="true" outlineLevel="0" collapsed="false">
      <c r="A184" s="43"/>
      <c r="B184" s="81"/>
      <c r="C184" s="12"/>
      <c r="D184" s="47"/>
      <c r="E184" s="47"/>
      <c r="F184" s="12"/>
      <c r="G184" s="12"/>
      <c r="H184" s="47" t="str">
        <f aca="false">IF(G184="","",IFERROR(INDEX(Palette!$K$2:$K$151,MATCH(G184,Palette!$A$2:$A$151,0)),"NOT IN PALETTE"))</f>
        <v/>
      </c>
      <c r="I184" s="43"/>
      <c r="J184" s="47"/>
      <c r="K184" s="47"/>
      <c r="L184" s="47"/>
      <c r="M184" s="47"/>
      <c r="N184" s="47"/>
      <c r="O184" s="47"/>
      <c r="P184" s="47"/>
      <c r="Q184" s="37" t="str">
        <f aca="false">IF(OR(B184="",G184=""),"",IF(AND(R184&lt;&gt;"",R184=0),"closed",IF(L184="",EDATE(B184,12),IF(M184="",EDATE(B184,24),IF(N184="",EDATE(B184,36),IF(O184="",EDATE(B184,60),IF(P184="",EDATE(B184,120),"done")))))))</f>
        <v/>
      </c>
      <c r="R184" s="47"/>
      <c r="S184" s="12"/>
      <c r="T184" s="12"/>
      <c r="U184" s="43"/>
    </row>
    <row r="185" customFormat="false" ht="15" hidden="false" customHeight="true" outlineLevel="0" collapsed="false">
      <c r="A185" s="43"/>
      <c r="B185" s="81"/>
      <c r="C185" s="12"/>
      <c r="D185" s="47"/>
      <c r="E185" s="47"/>
      <c r="F185" s="12"/>
      <c r="G185" s="12"/>
      <c r="H185" s="47" t="str">
        <f aca="false">IF(G185="","",IFERROR(INDEX(Palette!$K$2:$K$151,MATCH(G185,Palette!$A$2:$A$151,0)),"NOT IN PALETTE"))</f>
        <v/>
      </c>
      <c r="I185" s="43"/>
      <c r="J185" s="47"/>
      <c r="K185" s="47"/>
      <c r="L185" s="47"/>
      <c r="M185" s="47"/>
      <c r="N185" s="47"/>
      <c r="O185" s="47"/>
      <c r="P185" s="47"/>
      <c r="Q185" s="37" t="str">
        <f aca="false">IF(OR(B185="",G185=""),"",IF(AND(R185&lt;&gt;"",R185=0),"closed",IF(L185="",EDATE(B185,12),IF(M185="",EDATE(B185,24),IF(N185="",EDATE(B185,36),IF(O185="",EDATE(B185,60),IF(P185="",EDATE(B185,120),"done")))))))</f>
        <v/>
      </c>
      <c r="R185" s="47"/>
      <c r="S185" s="12"/>
      <c r="T185" s="12"/>
      <c r="U185" s="43"/>
    </row>
    <row r="186" customFormat="false" ht="15" hidden="false" customHeight="true" outlineLevel="0" collapsed="false">
      <c r="A186" s="43"/>
      <c r="B186" s="81"/>
      <c r="C186" s="12"/>
      <c r="D186" s="47"/>
      <c r="E186" s="47"/>
      <c r="F186" s="12"/>
      <c r="G186" s="12"/>
      <c r="H186" s="47" t="str">
        <f aca="false">IF(G186="","",IFERROR(INDEX(Palette!$K$2:$K$151,MATCH(G186,Palette!$A$2:$A$151,0)),"NOT IN PALETTE"))</f>
        <v/>
      </c>
      <c r="I186" s="43"/>
      <c r="J186" s="47"/>
      <c r="K186" s="47"/>
      <c r="L186" s="47"/>
      <c r="M186" s="47"/>
      <c r="N186" s="47"/>
      <c r="O186" s="47"/>
      <c r="P186" s="47"/>
      <c r="Q186" s="37" t="str">
        <f aca="false">IF(OR(B186="",G186=""),"",IF(AND(R186&lt;&gt;"",R186=0),"closed",IF(L186="",EDATE(B186,12),IF(M186="",EDATE(B186,24),IF(N186="",EDATE(B186,36),IF(O186="",EDATE(B186,60),IF(P186="",EDATE(B186,120),"done")))))))</f>
        <v/>
      </c>
      <c r="R186" s="47"/>
      <c r="S186" s="12"/>
      <c r="T186" s="12"/>
      <c r="U186" s="43"/>
    </row>
    <row r="187" customFormat="false" ht="15" hidden="false" customHeight="true" outlineLevel="0" collapsed="false">
      <c r="A187" s="43"/>
      <c r="B187" s="81"/>
      <c r="C187" s="12"/>
      <c r="D187" s="47"/>
      <c r="E187" s="47"/>
      <c r="F187" s="12"/>
      <c r="G187" s="12"/>
      <c r="H187" s="47" t="str">
        <f aca="false">IF(G187="","",IFERROR(INDEX(Palette!$K$2:$K$151,MATCH(G187,Palette!$A$2:$A$151,0)),"NOT IN PALETTE"))</f>
        <v/>
      </c>
      <c r="I187" s="43"/>
      <c r="J187" s="47"/>
      <c r="K187" s="47"/>
      <c r="L187" s="47"/>
      <c r="M187" s="47"/>
      <c r="N187" s="47"/>
      <c r="O187" s="47"/>
      <c r="P187" s="47"/>
      <c r="Q187" s="37" t="str">
        <f aca="false">IF(OR(B187="",G187=""),"",IF(AND(R187&lt;&gt;"",R187=0),"closed",IF(L187="",EDATE(B187,12),IF(M187="",EDATE(B187,24),IF(N187="",EDATE(B187,36),IF(O187="",EDATE(B187,60),IF(P187="",EDATE(B187,120),"done")))))))</f>
        <v/>
      </c>
      <c r="R187" s="47"/>
      <c r="S187" s="12"/>
      <c r="T187" s="12"/>
      <c r="U187" s="43"/>
    </row>
    <row r="188" customFormat="false" ht="15" hidden="false" customHeight="true" outlineLevel="0" collapsed="false">
      <c r="A188" s="43"/>
      <c r="B188" s="81"/>
      <c r="C188" s="12"/>
      <c r="D188" s="47"/>
      <c r="E188" s="47"/>
      <c r="F188" s="12"/>
      <c r="G188" s="12"/>
      <c r="H188" s="47" t="str">
        <f aca="false">IF(G188="","",IFERROR(INDEX(Palette!$K$2:$K$151,MATCH(G188,Palette!$A$2:$A$151,0)),"NOT IN PALETTE"))</f>
        <v/>
      </c>
      <c r="I188" s="43"/>
      <c r="J188" s="47"/>
      <c r="K188" s="47"/>
      <c r="L188" s="47"/>
      <c r="M188" s="47"/>
      <c r="N188" s="47"/>
      <c r="O188" s="47"/>
      <c r="P188" s="47"/>
      <c r="Q188" s="37" t="str">
        <f aca="false">IF(OR(B188="",G188=""),"",IF(AND(R188&lt;&gt;"",R188=0),"closed",IF(L188="",EDATE(B188,12),IF(M188="",EDATE(B188,24),IF(N188="",EDATE(B188,36),IF(O188="",EDATE(B188,60),IF(P188="",EDATE(B188,120),"done")))))))</f>
        <v/>
      </c>
      <c r="R188" s="47"/>
      <c r="S188" s="12"/>
      <c r="T188" s="12"/>
      <c r="U188" s="43"/>
    </row>
    <row r="189" customFormat="false" ht="15" hidden="false" customHeight="true" outlineLevel="0" collapsed="false">
      <c r="A189" s="43"/>
      <c r="B189" s="81"/>
      <c r="C189" s="12"/>
      <c r="D189" s="47"/>
      <c r="E189" s="47"/>
      <c r="F189" s="12"/>
      <c r="G189" s="12"/>
      <c r="H189" s="47" t="str">
        <f aca="false">IF(G189="","",IFERROR(INDEX(Palette!$K$2:$K$151,MATCH(G189,Palette!$A$2:$A$151,0)),"NOT IN PALETTE"))</f>
        <v/>
      </c>
      <c r="I189" s="43"/>
      <c r="J189" s="47"/>
      <c r="K189" s="47"/>
      <c r="L189" s="47"/>
      <c r="M189" s="47"/>
      <c r="N189" s="47"/>
      <c r="O189" s="47"/>
      <c r="P189" s="47"/>
      <c r="Q189" s="37" t="str">
        <f aca="false">IF(OR(B189="",G189=""),"",IF(AND(R189&lt;&gt;"",R189=0),"closed",IF(L189="",EDATE(B189,12),IF(M189="",EDATE(B189,24),IF(N189="",EDATE(B189,36),IF(O189="",EDATE(B189,60),IF(P189="",EDATE(B189,120),"done")))))))</f>
        <v/>
      </c>
      <c r="R189" s="47"/>
      <c r="S189" s="12"/>
      <c r="T189" s="12"/>
      <c r="U189" s="43"/>
    </row>
    <row r="190" customFormat="false" ht="15" hidden="false" customHeight="true" outlineLevel="0" collapsed="false">
      <c r="A190" s="43"/>
      <c r="B190" s="81"/>
      <c r="C190" s="12"/>
      <c r="D190" s="47"/>
      <c r="E190" s="47"/>
      <c r="F190" s="12"/>
      <c r="G190" s="12"/>
      <c r="H190" s="47" t="str">
        <f aca="false">IF(G190="","",IFERROR(INDEX(Palette!$K$2:$K$151,MATCH(G190,Palette!$A$2:$A$151,0)),"NOT IN PALETTE"))</f>
        <v/>
      </c>
      <c r="I190" s="43"/>
      <c r="J190" s="47"/>
      <c r="K190" s="47"/>
      <c r="L190" s="47"/>
      <c r="M190" s="47"/>
      <c r="N190" s="47"/>
      <c r="O190" s="47"/>
      <c r="P190" s="47"/>
      <c r="Q190" s="37" t="str">
        <f aca="false">IF(OR(B190="",G190=""),"",IF(AND(R190&lt;&gt;"",R190=0),"closed",IF(L190="",EDATE(B190,12),IF(M190="",EDATE(B190,24),IF(N190="",EDATE(B190,36),IF(O190="",EDATE(B190,60),IF(P190="",EDATE(B190,120),"done")))))))</f>
        <v/>
      </c>
      <c r="R190" s="47"/>
      <c r="S190" s="12"/>
      <c r="T190" s="12"/>
      <c r="U190" s="43"/>
    </row>
    <row r="191" customFormat="false" ht="15" hidden="false" customHeight="true" outlineLevel="0" collapsed="false">
      <c r="A191" s="43"/>
      <c r="B191" s="81"/>
      <c r="C191" s="12"/>
      <c r="D191" s="47"/>
      <c r="E191" s="47"/>
      <c r="F191" s="12"/>
      <c r="G191" s="12"/>
      <c r="H191" s="47" t="str">
        <f aca="false">IF(G191="","",IFERROR(INDEX(Palette!$K$2:$K$151,MATCH(G191,Palette!$A$2:$A$151,0)),"NOT IN PALETTE"))</f>
        <v/>
      </c>
      <c r="I191" s="43"/>
      <c r="J191" s="47"/>
      <c r="K191" s="47"/>
      <c r="L191" s="47"/>
      <c r="M191" s="47"/>
      <c r="N191" s="47"/>
      <c r="O191" s="47"/>
      <c r="P191" s="47"/>
      <c r="Q191" s="37" t="str">
        <f aca="false">IF(OR(B191="",G191=""),"",IF(AND(R191&lt;&gt;"",R191=0),"closed",IF(L191="",EDATE(B191,12),IF(M191="",EDATE(B191,24),IF(N191="",EDATE(B191,36),IF(O191="",EDATE(B191,60),IF(P191="",EDATE(B191,120),"done")))))))</f>
        <v/>
      </c>
      <c r="R191" s="47"/>
      <c r="S191" s="12"/>
      <c r="T191" s="12"/>
      <c r="U191" s="43"/>
    </row>
    <row r="192" customFormat="false" ht="15" hidden="false" customHeight="true" outlineLevel="0" collapsed="false">
      <c r="A192" s="43"/>
      <c r="B192" s="81"/>
      <c r="C192" s="12"/>
      <c r="D192" s="47"/>
      <c r="E192" s="47"/>
      <c r="F192" s="12"/>
      <c r="G192" s="12"/>
      <c r="H192" s="47" t="str">
        <f aca="false">IF(G192="","",IFERROR(INDEX(Palette!$K$2:$K$151,MATCH(G192,Palette!$A$2:$A$151,0)),"NOT IN PALETTE"))</f>
        <v/>
      </c>
      <c r="I192" s="43"/>
      <c r="J192" s="47"/>
      <c r="K192" s="47"/>
      <c r="L192" s="47"/>
      <c r="M192" s="47"/>
      <c r="N192" s="47"/>
      <c r="O192" s="47"/>
      <c r="P192" s="47"/>
      <c r="Q192" s="37" t="str">
        <f aca="false">IF(OR(B192="",G192=""),"",IF(AND(R192&lt;&gt;"",R192=0),"closed",IF(L192="",EDATE(B192,12),IF(M192="",EDATE(B192,24),IF(N192="",EDATE(B192,36),IF(O192="",EDATE(B192,60),IF(P192="",EDATE(B192,120),"done")))))))</f>
        <v/>
      </c>
      <c r="R192" s="47"/>
      <c r="S192" s="12"/>
      <c r="T192" s="12"/>
      <c r="U192" s="43"/>
    </row>
    <row r="193" customFormat="false" ht="15" hidden="false" customHeight="true" outlineLevel="0" collapsed="false">
      <c r="A193" s="43"/>
      <c r="B193" s="81"/>
      <c r="C193" s="12"/>
      <c r="D193" s="47"/>
      <c r="E193" s="47"/>
      <c r="F193" s="12"/>
      <c r="G193" s="12"/>
      <c r="H193" s="47" t="str">
        <f aca="false">IF(G193="","",IFERROR(INDEX(Palette!$K$2:$K$151,MATCH(G193,Palette!$A$2:$A$151,0)),"NOT IN PALETTE"))</f>
        <v/>
      </c>
      <c r="I193" s="43"/>
      <c r="J193" s="47"/>
      <c r="K193" s="47"/>
      <c r="L193" s="47"/>
      <c r="M193" s="47"/>
      <c r="N193" s="47"/>
      <c r="O193" s="47"/>
      <c r="P193" s="47"/>
      <c r="Q193" s="37" t="str">
        <f aca="false">IF(OR(B193="",G193=""),"",IF(AND(R193&lt;&gt;"",R193=0),"closed",IF(L193="",EDATE(B193,12),IF(M193="",EDATE(B193,24),IF(N193="",EDATE(B193,36),IF(O193="",EDATE(B193,60),IF(P193="",EDATE(B193,120),"done")))))))</f>
        <v/>
      </c>
      <c r="R193" s="47"/>
      <c r="S193" s="12"/>
      <c r="T193" s="12"/>
      <c r="U193" s="43"/>
    </row>
    <row r="194" customFormat="false" ht="15" hidden="false" customHeight="true" outlineLevel="0" collapsed="false">
      <c r="A194" s="43"/>
      <c r="B194" s="81"/>
      <c r="C194" s="12"/>
      <c r="D194" s="47"/>
      <c r="E194" s="47"/>
      <c r="F194" s="12"/>
      <c r="G194" s="12"/>
      <c r="H194" s="47" t="str">
        <f aca="false">IF(G194="","",IFERROR(INDEX(Palette!$K$2:$K$151,MATCH(G194,Palette!$A$2:$A$151,0)),"NOT IN PALETTE"))</f>
        <v/>
      </c>
      <c r="I194" s="43"/>
      <c r="J194" s="47"/>
      <c r="K194" s="47"/>
      <c r="L194" s="47"/>
      <c r="M194" s="47"/>
      <c r="N194" s="47"/>
      <c r="O194" s="47"/>
      <c r="P194" s="47"/>
      <c r="Q194" s="37" t="str">
        <f aca="false">IF(OR(B194="",G194=""),"",IF(AND(R194&lt;&gt;"",R194=0),"closed",IF(L194="",EDATE(B194,12),IF(M194="",EDATE(B194,24),IF(N194="",EDATE(B194,36),IF(O194="",EDATE(B194,60),IF(P194="",EDATE(B194,120),"done")))))))</f>
        <v/>
      </c>
      <c r="R194" s="47"/>
      <c r="S194" s="12"/>
      <c r="T194" s="12"/>
      <c r="U194" s="43"/>
    </row>
    <row r="195" customFormat="false" ht="15" hidden="false" customHeight="true" outlineLevel="0" collapsed="false">
      <c r="A195" s="43"/>
      <c r="B195" s="81"/>
      <c r="C195" s="12"/>
      <c r="D195" s="47"/>
      <c r="E195" s="47"/>
      <c r="F195" s="12"/>
      <c r="G195" s="12"/>
      <c r="H195" s="47" t="str">
        <f aca="false">IF(G195="","",IFERROR(INDEX(Palette!$K$2:$K$151,MATCH(G195,Palette!$A$2:$A$151,0)),"NOT IN PALETTE"))</f>
        <v/>
      </c>
      <c r="I195" s="43"/>
      <c r="J195" s="47"/>
      <c r="K195" s="47"/>
      <c r="L195" s="47"/>
      <c r="M195" s="47"/>
      <c r="N195" s="47"/>
      <c r="O195" s="47"/>
      <c r="P195" s="47"/>
      <c r="Q195" s="37" t="str">
        <f aca="false">IF(OR(B195="",G195=""),"",IF(AND(R195&lt;&gt;"",R195=0),"closed",IF(L195="",EDATE(B195,12),IF(M195="",EDATE(B195,24),IF(N195="",EDATE(B195,36),IF(O195="",EDATE(B195,60),IF(P195="",EDATE(B195,120),"done")))))))</f>
        <v/>
      </c>
      <c r="R195" s="47"/>
      <c r="S195" s="12"/>
      <c r="T195" s="12"/>
      <c r="U195" s="43"/>
    </row>
    <row r="196" customFormat="false" ht="15" hidden="false" customHeight="true" outlineLevel="0" collapsed="false">
      <c r="A196" s="43"/>
      <c r="B196" s="81"/>
      <c r="C196" s="12"/>
      <c r="D196" s="47"/>
      <c r="E196" s="47"/>
      <c r="F196" s="12"/>
      <c r="G196" s="12"/>
      <c r="H196" s="47" t="str">
        <f aca="false">IF(G196="","",IFERROR(INDEX(Palette!$K$2:$K$151,MATCH(G196,Palette!$A$2:$A$151,0)),"NOT IN PALETTE"))</f>
        <v/>
      </c>
      <c r="I196" s="43"/>
      <c r="J196" s="47"/>
      <c r="K196" s="47"/>
      <c r="L196" s="47"/>
      <c r="M196" s="47"/>
      <c r="N196" s="47"/>
      <c r="O196" s="47"/>
      <c r="P196" s="47"/>
      <c r="Q196" s="37" t="str">
        <f aca="false">IF(OR(B196="",G196=""),"",IF(AND(R196&lt;&gt;"",R196=0),"closed",IF(L196="",EDATE(B196,12),IF(M196="",EDATE(B196,24),IF(N196="",EDATE(B196,36),IF(O196="",EDATE(B196,60),IF(P196="",EDATE(B196,120),"done")))))))</f>
        <v/>
      </c>
      <c r="R196" s="47"/>
      <c r="S196" s="12"/>
      <c r="T196" s="12"/>
      <c r="U196" s="43"/>
    </row>
    <row r="197" customFormat="false" ht="15" hidden="false" customHeight="true" outlineLevel="0" collapsed="false">
      <c r="A197" s="43"/>
      <c r="B197" s="81"/>
      <c r="C197" s="12"/>
      <c r="D197" s="47"/>
      <c r="E197" s="47"/>
      <c r="F197" s="12"/>
      <c r="G197" s="12"/>
      <c r="H197" s="47" t="str">
        <f aca="false">IF(G197="","",IFERROR(INDEX(Palette!$K$2:$K$151,MATCH(G197,Palette!$A$2:$A$151,0)),"NOT IN PALETTE"))</f>
        <v/>
      </c>
      <c r="I197" s="43"/>
      <c r="J197" s="47"/>
      <c r="K197" s="47"/>
      <c r="L197" s="47"/>
      <c r="M197" s="47"/>
      <c r="N197" s="47"/>
      <c r="O197" s="47"/>
      <c r="P197" s="47"/>
      <c r="Q197" s="37" t="str">
        <f aca="false">IF(OR(B197="",G197=""),"",IF(AND(R197&lt;&gt;"",R197=0),"closed",IF(L197="",EDATE(B197,12),IF(M197="",EDATE(B197,24),IF(N197="",EDATE(B197,36),IF(O197="",EDATE(B197,60),IF(P197="",EDATE(B197,120),"done")))))))</f>
        <v/>
      </c>
      <c r="R197" s="47"/>
      <c r="S197" s="12"/>
      <c r="T197" s="12"/>
      <c r="U197" s="43"/>
    </row>
    <row r="198" customFormat="false" ht="15" hidden="false" customHeight="true" outlineLevel="0" collapsed="false">
      <c r="A198" s="43"/>
      <c r="B198" s="81"/>
      <c r="C198" s="12"/>
      <c r="D198" s="47"/>
      <c r="E198" s="47"/>
      <c r="F198" s="12"/>
      <c r="G198" s="12"/>
      <c r="H198" s="47" t="str">
        <f aca="false">IF(G198="","",IFERROR(INDEX(Palette!$K$2:$K$151,MATCH(G198,Palette!$A$2:$A$151,0)),"NOT IN PALETTE"))</f>
        <v/>
      </c>
      <c r="I198" s="43"/>
      <c r="J198" s="47"/>
      <c r="K198" s="47"/>
      <c r="L198" s="47"/>
      <c r="M198" s="47"/>
      <c r="N198" s="47"/>
      <c r="O198" s="47"/>
      <c r="P198" s="47"/>
      <c r="Q198" s="37" t="str">
        <f aca="false">IF(OR(B198="",G198=""),"",IF(AND(R198&lt;&gt;"",R198=0),"closed",IF(L198="",EDATE(B198,12),IF(M198="",EDATE(B198,24),IF(N198="",EDATE(B198,36),IF(O198="",EDATE(B198,60),IF(P198="",EDATE(B198,120),"done")))))))</f>
        <v/>
      </c>
      <c r="R198" s="47"/>
      <c r="S198" s="12"/>
      <c r="T198" s="12"/>
      <c r="U198" s="43"/>
    </row>
    <row r="199" customFormat="false" ht="15" hidden="false" customHeight="true" outlineLevel="0" collapsed="false">
      <c r="A199" s="43"/>
      <c r="B199" s="81"/>
      <c r="C199" s="12"/>
      <c r="D199" s="47"/>
      <c r="E199" s="47"/>
      <c r="F199" s="12"/>
      <c r="G199" s="12"/>
      <c r="H199" s="47" t="str">
        <f aca="false">IF(G199="","",IFERROR(INDEX(Palette!$K$2:$K$151,MATCH(G199,Palette!$A$2:$A$151,0)),"NOT IN PALETTE"))</f>
        <v/>
      </c>
      <c r="I199" s="43"/>
      <c r="J199" s="47"/>
      <c r="K199" s="47"/>
      <c r="L199" s="47"/>
      <c r="M199" s="47"/>
      <c r="N199" s="47"/>
      <c r="O199" s="47"/>
      <c r="P199" s="47"/>
      <c r="Q199" s="37" t="str">
        <f aca="false">IF(OR(B199="",G199=""),"",IF(AND(R199&lt;&gt;"",R199=0),"closed",IF(L199="",EDATE(B199,12),IF(M199="",EDATE(B199,24),IF(N199="",EDATE(B199,36),IF(O199="",EDATE(B199,60),IF(P199="",EDATE(B199,120),"done")))))))</f>
        <v/>
      </c>
      <c r="R199" s="47"/>
      <c r="S199" s="12"/>
      <c r="T199" s="12"/>
      <c r="U199" s="43"/>
    </row>
    <row r="200" customFormat="false" ht="15" hidden="false" customHeight="true" outlineLevel="0" collapsed="false">
      <c r="A200" s="43"/>
      <c r="B200" s="81"/>
      <c r="C200" s="12"/>
      <c r="D200" s="47"/>
      <c r="E200" s="47"/>
      <c r="F200" s="12"/>
      <c r="G200" s="12"/>
      <c r="H200" s="47" t="str">
        <f aca="false">IF(G200="","",IFERROR(INDEX(Palette!$K$2:$K$151,MATCH(G200,Palette!$A$2:$A$151,0)),"NOT IN PALETTE"))</f>
        <v/>
      </c>
      <c r="I200" s="43"/>
      <c r="J200" s="47"/>
      <c r="K200" s="47"/>
      <c r="L200" s="47"/>
      <c r="M200" s="47"/>
      <c r="N200" s="47"/>
      <c r="O200" s="47"/>
      <c r="P200" s="47"/>
      <c r="Q200" s="37" t="str">
        <f aca="false">IF(OR(B200="",G200=""),"",IF(AND(R200&lt;&gt;"",R200=0),"closed",IF(L200="",EDATE(B200,12),IF(M200="",EDATE(B200,24),IF(N200="",EDATE(B200,36),IF(O200="",EDATE(B200,60),IF(P200="",EDATE(B200,120),"done")))))))</f>
        <v/>
      </c>
      <c r="R200" s="47"/>
      <c r="S200" s="12"/>
      <c r="T200" s="12"/>
      <c r="U200" s="43"/>
    </row>
    <row r="201" customFormat="false" ht="15" hidden="false" customHeight="true" outlineLevel="0" collapsed="false">
      <c r="A201" s="43"/>
      <c r="B201" s="81"/>
      <c r="C201" s="12"/>
      <c r="D201" s="47"/>
      <c r="E201" s="47"/>
      <c r="F201" s="12"/>
      <c r="G201" s="12"/>
      <c r="H201" s="47" t="str">
        <f aca="false">IF(G201="","",IFERROR(INDEX(Palette!$K$2:$K$151,MATCH(G201,Palette!$A$2:$A$151,0)),"NOT IN PALETTE"))</f>
        <v/>
      </c>
      <c r="I201" s="43"/>
      <c r="J201" s="47"/>
      <c r="K201" s="47"/>
      <c r="L201" s="47"/>
      <c r="M201" s="47"/>
      <c r="N201" s="47"/>
      <c r="O201" s="47"/>
      <c r="P201" s="47"/>
      <c r="Q201" s="37" t="str">
        <f aca="false">IF(OR(B201="",G201=""),"",IF(AND(R201&lt;&gt;"",R201=0),"closed",IF(L201="",EDATE(B201,12),IF(M201="",EDATE(B201,24),IF(N201="",EDATE(B201,36),IF(O201="",EDATE(B201,60),IF(P201="",EDATE(B201,120),"done")))))))</f>
        <v/>
      </c>
      <c r="R201" s="47"/>
      <c r="S201" s="12"/>
      <c r="T201" s="12"/>
      <c r="U201" s="43"/>
    </row>
    <row r="202" customFormat="false" ht="15" hidden="false" customHeight="true" outlineLevel="0" collapsed="false">
      <c r="A202" s="43"/>
      <c r="B202" s="81"/>
      <c r="C202" s="12"/>
      <c r="D202" s="47"/>
      <c r="E202" s="47"/>
      <c r="F202" s="12"/>
      <c r="G202" s="12"/>
      <c r="H202" s="47" t="str">
        <f aca="false">IF(G202="","",IFERROR(INDEX(Palette!$K$2:$K$151,MATCH(G202,Palette!$A$2:$A$151,0)),"NOT IN PALETTE"))</f>
        <v/>
      </c>
      <c r="I202" s="43"/>
      <c r="J202" s="47"/>
      <c r="K202" s="47"/>
      <c r="L202" s="47"/>
      <c r="M202" s="47"/>
      <c r="N202" s="47"/>
      <c r="O202" s="47"/>
      <c r="P202" s="47"/>
      <c r="Q202" s="37" t="str">
        <f aca="false">IF(OR(B202="",G202=""),"",IF(AND(R202&lt;&gt;"",R202=0),"closed",IF(L202="",EDATE(B202,12),IF(M202="",EDATE(B202,24),IF(N202="",EDATE(B202,36),IF(O202="",EDATE(B202,60),IF(P202="",EDATE(B202,120),"done")))))))</f>
        <v/>
      </c>
      <c r="R202" s="47"/>
      <c r="S202" s="12"/>
      <c r="T202" s="12"/>
      <c r="U202" s="43"/>
    </row>
    <row r="204" customFormat="false" ht="25.5" hidden="false" customHeight="true" outlineLevel="0" collapsed="false">
      <c r="A204" s="17" t="s">
        <v>1003</v>
      </c>
      <c r="B204" s="17"/>
      <c r="C204" s="17"/>
      <c r="D204" s="17"/>
      <c r="E204" s="17"/>
      <c r="F204" s="17"/>
      <c r="G204" s="17"/>
      <c r="H204" s="17"/>
      <c r="I204" s="17"/>
      <c r="J204" s="17"/>
      <c r="K204" s="17"/>
      <c r="L204" s="17"/>
    </row>
    <row r="205" customFormat="false" ht="25.5" hidden="false" customHeight="true" outlineLevel="0" collapsed="false">
      <c r="A205" s="17" t="s">
        <v>1004</v>
      </c>
      <c r="B205" s="17"/>
      <c r="C205" s="17"/>
      <c r="D205" s="17"/>
      <c r="E205" s="17"/>
      <c r="F205" s="17"/>
      <c r="G205" s="17"/>
      <c r="H205" s="17"/>
      <c r="I205" s="17"/>
      <c r="J205" s="17"/>
      <c r="K205" s="17"/>
      <c r="L205" s="17"/>
    </row>
    <row r="206" customFormat="false" ht="25.5" hidden="false" customHeight="true" outlineLevel="0" collapsed="false">
      <c r="A206" s="17" t="s">
        <v>1005</v>
      </c>
      <c r="B206" s="17"/>
      <c r="C206" s="17"/>
      <c r="D206" s="17"/>
      <c r="E206" s="17"/>
      <c r="F206" s="17"/>
      <c r="G206" s="17"/>
      <c r="H206" s="17"/>
      <c r="I206" s="17"/>
      <c r="J206" s="17"/>
      <c r="K206" s="17"/>
      <c r="L206" s="17"/>
    </row>
  </sheetData>
  <autoFilter ref="A1:U202"/>
  <mergeCells count="3">
    <mergeCell ref="A204:L204"/>
    <mergeCell ref="A205:L205"/>
    <mergeCell ref="A206:L206"/>
  </mergeCells>
  <conditionalFormatting sqref="H2:H202">
    <cfRule type="expression" priority="2" aboveAverage="0" equalAverage="0" bottom="0" percent="0" rank="0" text="" dxfId="0">
      <formula>H2="NOT IN PALETTE"</formula>
    </cfRule>
    <cfRule type="expression" priority="3" aboveAverage="0" equalAverage="0" bottom="0" percent="0" rank="0" text="" dxfId="1">
      <formula>H2="B"</formula>
    </cfRule>
    <cfRule type="expression" priority="4" aboveAverage="0" equalAverage="0" bottom="0" percent="0" rank="0" text="" dxfId="0">
      <formula>OR(H2="C",H2="Reject")</formula>
    </cfRule>
  </conditionalFormatting>
  <conditionalFormatting sqref="Q2:Q202">
    <cfRule type="expression" priority="5" aboveAverage="0" equalAverage="0" bottom="0" percent="0" rank="0" text="" dxfId="0">
      <formula>AND(ISNUMBER(Q2),Q2&lt;TODAY())</formula>
    </cfRule>
    <cfRule type="expression" priority="6" aboveAverage="0" equalAverage="0" bottom="0" percent="0" rank="0" text="" dxfId="1">
      <formula>AND(ISNUMBER(Q2),Q2&lt;TODAY()+60)</formula>
    </cfRule>
  </conditionalFormatting>
  <dataValidations count="5">
    <dataValidation allowBlank="true" errorStyle="warning" operator="between" showDropDown="false" showErrorMessage="true" showInputMessage="false" sqref="D2:D202" type="list">
      <formula1>Lists!$D$2:$D$4</formula1>
      <formula2>0</formula2>
    </dataValidation>
    <dataValidation allowBlank="true" errorStyle="warning" operator="between" showDropDown="false" showErrorMessage="true" showInputMessage="false" sqref="G2:G202" type="list">
      <formula1>Palette!$A$2:$A$151</formula1>
      <formula2>0</formula2>
    </dataValidation>
    <dataValidation allowBlank="true" errorStyle="warning" operator="between" showDropDown="false" showErrorMessage="true" showInputMessage="false" sqref="K2:K202" type="list">
      <formula1>Lists!$G$2:$G$3</formula1>
      <formula2>0</formula2>
    </dataValidation>
    <dataValidation allowBlank="true" errorStyle="warning" operator="between" showDropDown="false" showErrorMessage="true" showInputMessage="false" sqref="L2:P202" type="list">
      <formula1>Lists!$E$2:$E$6</formula1>
      <formula2>0</formula2>
    </dataValidation>
    <dataValidation allowBlank="true" errorStyle="warning" operator="between" showDropDown="false" showErrorMessage="true" showInputMessage="false" sqref="S2:S202" type="list">
      <formula1>Lists!$H$2:$H$10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U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26"/>
    <col collapsed="false" customWidth="true" hidden="false" outlineLevel="0" max="4" min="4" style="1" width="7"/>
    <col collapsed="false" customWidth="true" hidden="false" outlineLevel="0" max="5" min="5" style="1" width="9"/>
    <col collapsed="false" customWidth="true" hidden="false" outlineLevel="0" max="6" min="6" style="1" width="8"/>
    <col collapsed="false" customWidth="true" hidden="false" outlineLevel="0" max="8" min="7" style="1" width="9"/>
    <col collapsed="false" customWidth="true" hidden="false" outlineLevel="0" max="9" min="9" style="1" width="8"/>
    <col collapsed="false" customWidth="true" hidden="false" outlineLevel="0" max="10" min="10" style="1" width="24"/>
    <col collapsed="false" customWidth="true" hidden="false" outlineLevel="0" max="11" min="11" style="1" width="30"/>
    <col collapsed="false" customWidth="true" hidden="false" outlineLevel="0" max="12" min="12" style="1" width="10"/>
    <col collapsed="false" customWidth="true" hidden="false" outlineLevel="0" max="15" min="13" style="1" width="11"/>
    <col collapsed="false" customWidth="true" hidden="false" outlineLevel="0" max="16" min="16" style="1" width="10"/>
    <col collapsed="false" customWidth="true" hidden="false" outlineLevel="0" max="17" min="17" style="1" width="16"/>
    <col collapsed="false" customWidth="true" hidden="false" outlineLevel="0" max="20" min="18" style="1" width="11"/>
    <col collapsed="false" customWidth="true" hidden="false" outlineLevel="0" max="21" min="21" style="1" width="32"/>
  </cols>
  <sheetData>
    <row r="1" customFormat="false" ht="48" hidden="false" customHeight="true" outlineLevel="0" collapsed="false">
      <c r="A1" s="32" t="s">
        <v>1006</v>
      </c>
      <c r="B1" s="32" t="s">
        <v>1007</v>
      </c>
      <c r="C1" s="32" t="s">
        <v>978</v>
      </c>
      <c r="D1" s="32" t="s">
        <v>154</v>
      </c>
      <c r="E1" s="32" t="s">
        <v>1008</v>
      </c>
      <c r="F1" s="32" t="s">
        <v>1009</v>
      </c>
      <c r="G1" s="32" t="s">
        <v>1010</v>
      </c>
      <c r="H1" s="32" t="s">
        <v>1011</v>
      </c>
      <c r="I1" s="32" t="s">
        <v>1012</v>
      </c>
      <c r="J1" s="32" t="s">
        <v>1013</v>
      </c>
      <c r="K1" s="32" t="s">
        <v>1014</v>
      </c>
      <c r="L1" s="32" t="s">
        <v>1015</v>
      </c>
      <c r="M1" s="32" t="s">
        <v>1016</v>
      </c>
      <c r="N1" s="32" t="s">
        <v>1017</v>
      </c>
      <c r="O1" s="32" t="s">
        <v>1018</v>
      </c>
      <c r="P1" s="32" t="s">
        <v>1019</v>
      </c>
      <c r="Q1" s="32" t="s">
        <v>1020</v>
      </c>
      <c r="R1" s="32" t="s">
        <v>1021</v>
      </c>
      <c r="S1" s="32" t="s">
        <v>1022</v>
      </c>
      <c r="T1" s="32" t="s">
        <v>1023</v>
      </c>
      <c r="U1" s="32" t="s">
        <v>173</v>
      </c>
    </row>
    <row r="2" customFormat="false" ht="21.75" hidden="false" customHeight="true" outlineLevel="0" collapsed="false">
      <c r="A2" s="77" t="s">
        <v>1024</v>
      </c>
      <c r="B2" s="78" t="n">
        <v>46301</v>
      </c>
      <c r="C2" s="79" t="s">
        <v>1025</v>
      </c>
      <c r="D2" s="82" t="n">
        <v>18</v>
      </c>
      <c r="E2" s="83" t="n">
        <v>0.1</v>
      </c>
      <c r="F2" s="14" t="s">
        <v>1026</v>
      </c>
      <c r="G2" s="14" t="s">
        <v>422</v>
      </c>
      <c r="H2" s="14" t="s">
        <v>1027</v>
      </c>
      <c r="I2" s="14" t="s">
        <v>1028</v>
      </c>
      <c r="J2" s="79" t="str">
        <f aca="false">IF(N(D2)=0,"",IF(N(E2)&gt;0.5,IF(I2="Y","REMOVE NOW: target at risk","REMOVE NOW"),IF(N(E2)&gt;=0.3,"GRAY ZONE: assess structure",IF(G2="High","TREAT",IF(F2="Y","REMOVE AND REPLACE","PLANT FIRST, REMOVE LATER")))))</f>
        <v>TREAT</v>
      </c>
      <c r="K2" s="79" t="str">
        <f aca="false">IF(N(D2)=0,"",IF(J2="TREAT","Successor if space: ","")&amp;IF(H2="Wet","Quercus bicolor or Malus fusca",IF(H2="Riparian","Natives only: Malus fusca, Salix, Q. garryana on edges",IF(H2="Upland","Quercus garryana or Q. macrocarpa","Set site type"))))</f>
        <v>Successor if space: Quercus bicolor or Malus fusca</v>
      </c>
      <c r="L2" s="84" t="n">
        <f aca="false">IF(N(D2)=0,"",D2*'Ash EAB'!$B$11)</f>
        <v>216</v>
      </c>
      <c r="M2" s="84" t="n">
        <f aca="false">IF(N(D2)=0,"",L2*ROUNDUP('Ash EAB'!$B$17/'Ash EAB'!$B$12,0))</f>
        <v>1728</v>
      </c>
      <c r="N2" s="84" t="n">
        <f aca="false">IF(N(D2)=0,"",D2*'Ash EAB'!$B$13+'Ash EAB'!$B$15)</f>
        <v>2790</v>
      </c>
      <c r="O2" s="84" t="n">
        <f aca="false">IF(N(D2)=0,"",D2*'Ash EAB'!$B$13*'Ash EAB'!$B$14+'Ash EAB'!$B$15)</f>
        <v>3510</v>
      </c>
      <c r="P2" s="14" t="str">
        <f aca="false">IF(N(D2)=0,"",IF(M2&lt;N2,"Treat","Replace"))</f>
        <v>Treat</v>
      </c>
      <c r="Q2" s="77" t="s">
        <v>1029</v>
      </c>
      <c r="R2" s="80" t="n">
        <v>46174</v>
      </c>
      <c r="S2" s="80" t="n">
        <f aca="false">IF(R2="","",EDATE(R2,ROUND('Ash EAB'!$B$12*12,0)))</f>
        <v>46905</v>
      </c>
      <c r="T2" s="14"/>
      <c r="U2" s="79" t="s">
        <v>1030</v>
      </c>
    </row>
    <row r="3" customFormat="false" ht="15" hidden="false" customHeight="true" outlineLevel="0" collapsed="false">
      <c r="A3" s="43"/>
      <c r="B3" s="81"/>
      <c r="C3" s="12"/>
      <c r="D3" s="42"/>
      <c r="E3" s="85"/>
      <c r="F3" s="47"/>
      <c r="G3" s="47"/>
      <c r="H3" s="47"/>
      <c r="I3" s="47"/>
      <c r="J3" s="12" t="str">
        <f aca="false">IF(N(D3)=0,"",IF(N(E3)&gt;0.5,IF(I3="Y","REMOVE NOW: target at risk","REMOVE NOW"),IF(N(E3)&gt;=0.3,"GRAY ZONE: assess structure",IF(G3="High","TREAT",IF(F3="Y","REMOVE AND REPLACE","PLANT FIRST, REMOVE LATER")))))</f>
        <v/>
      </c>
      <c r="K3" s="12" t="str">
        <f aca="false">IF(N(D3)=0,"",IF(J3="TREAT","Successor if space: ","")&amp;IF(H3="Wet","Quercus bicolor or Malus fusca",IF(H3="Riparian","Natives only: Malus fusca, Salix, Q. garryana on edges",IF(H3="Upland","Quercus garryana or Q. macrocarpa","Set site type"))))</f>
        <v/>
      </c>
      <c r="L3" s="54" t="str">
        <f aca="false">IF(N(D3)=0,"",D3*'Ash EAB'!$B$11)</f>
        <v/>
      </c>
      <c r="M3" s="54" t="str">
        <f aca="false">IF(N(D3)=0,"",L3*ROUNDUP('Ash EAB'!$B$17/'Ash EAB'!$B$12,0))</f>
        <v/>
      </c>
      <c r="N3" s="54" t="str">
        <f aca="false">IF(N(D3)=0,"",D3*'Ash EAB'!$B$13+'Ash EAB'!$B$15)</f>
        <v/>
      </c>
      <c r="O3" s="54" t="str">
        <f aca="false">IF(N(D3)=0,"",D3*'Ash EAB'!$B$13*'Ash EAB'!$B$14+'Ash EAB'!$B$15)</f>
        <v/>
      </c>
      <c r="P3" s="47" t="str">
        <f aca="false">IF(N(D3)=0,"",IF(M3&lt;N3,"Treat","Replace"))</f>
        <v/>
      </c>
      <c r="Q3" s="43"/>
      <c r="R3" s="37"/>
      <c r="S3" s="37" t="str">
        <f aca="false">IF(R3="","",EDATE(R3,ROUND('Ash EAB'!$B$12*12,0)))</f>
        <v/>
      </c>
      <c r="T3" s="47"/>
      <c r="U3" s="12"/>
    </row>
    <row r="4" customFormat="false" ht="15" hidden="false" customHeight="true" outlineLevel="0" collapsed="false">
      <c r="A4" s="43"/>
      <c r="B4" s="81"/>
      <c r="C4" s="12"/>
      <c r="D4" s="42"/>
      <c r="E4" s="85"/>
      <c r="F4" s="47"/>
      <c r="G4" s="47"/>
      <c r="H4" s="47"/>
      <c r="I4" s="47"/>
      <c r="J4" s="12" t="str">
        <f aca="false">IF(N(D4)=0,"",IF(N(E4)&gt;0.5,IF(I4="Y","REMOVE NOW: target at risk","REMOVE NOW"),IF(N(E4)&gt;=0.3,"GRAY ZONE: assess structure",IF(G4="High","TREAT",IF(F4="Y","REMOVE AND REPLACE","PLANT FIRST, REMOVE LATER")))))</f>
        <v/>
      </c>
      <c r="K4" s="12" t="str">
        <f aca="false">IF(N(D4)=0,"",IF(J4="TREAT","Successor if space: ","")&amp;IF(H4="Wet","Quercus bicolor or Malus fusca",IF(H4="Riparian","Natives only: Malus fusca, Salix, Q. garryana on edges",IF(H4="Upland","Quercus garryana or Q. macrocarpa","Set site type"))))</f>
        <v/>
      </c>
      <c r="L4" s="54" t="str">
        <f aca="false">IF(N(D4)=0,"",D4*'Ash EAB'!$B$11)</f>
        <v/>
      </c>
      <c r="M4" s="54" t="str">
        <f aca="false">IF(N(D4)=0,"",L4*ROUNDUP('Ash EAB'!$B$17/'Ash EAB'!$B$12,0))</f>
        <v/>
      </c>
      <c r="N4" s="54" t="str">
        <f aca="false">IF(N(D4)=0,"",D4*'Ash EAB'!$B$13+'Ash EAB'!$B$15)</f>
        <v/>
      </c>
      <c r="O4" s="54" t="str">
        <f aca="false">IF(N(D4)=0,"",D4*'Ash EAB'!$B$13*'Ash EAB'!$B$14+'Ash EAB'!$B$15)</f>
        <v/>
      </c>
      <c r="P4" s="47" t="str">
        <f aca="false">IF(N(D4)=0,"",IF(M4&lt;N4,"Treat","Replace"))</f>
        <v/>
      </c>
      <c r="Q4" s="43"/>
      <c r="R4" s="37"/>
      <c r="S4" s="37" t="str">
        <f aca="false">IF(R4="","",EDATE(R4,ROUND('Ash EAB'!$B$12*12,0)))</f>
        <v/>
      </c>
      <c r="T4" s="47"/>
      <c r="U4" s="12"/>
    </row>
    <row r="5" customFormat="false" ht="15" hidden="false" customHeight="true" outlineLevel="0" collapsed="false">
      <c r="A5" s="43"/>
      <c r="B5" s="81"/>
      <c r="C5" s="12"/>
      <c r="D5" s="42"/>
      <c r="E5" s="85"/>
      <c r="F5" s="47"/>
      <c r="G5" s="47"/>
      <c r="H5" s="47"/>
      <c r="I5" s="47"/>
      <c r="J5" s="12" t="str">
        <f aca="false">IF(N(D5)=0,"",IF(N(E5)&gt;0.5,IF(I5="Y","REMOVE NOW: target at risk","REMOVE NOW"),IF(N(E5)&gt;=0.3,"GRAY ZONE: assess structure",IF(G5="High","TREAT",IF(F5="Y","REMOVE AND REPLACE","PLANT FIRST, REMOVE LATER")))))</f>
        <v/>
      </c>
      <c r="K5" s="12" t="str">
        <f aca="false">IF(N(D5)=0,"",IF(J5="TREAT","Successor if space: ","")&amp;IF(H5="Wet","Quercus bicolor or Malus fusca",IF(H5="Riparian","Natives only: Malus fusca, Salix, Q. garryana on edges",IF(H5="Upland","Quercus garryana or Q. macrocarpa","Set site type"))))</f>
        <v/>
      </c>
      <c r="L5" s="54" t="str">
        <f aca="false">IF(N(D5)=0,"",D5*'Ash EAB'!$B$11)</f>
        <v/>
      </c>
      <c r="M5" s="54" t="str">
        <f aca="false">IF(N(D5)=0,"",L5*ROUNDUP('Ash EAB'!$B$17/'Ash EAB'!$B$12,0))</f>
        <v/>
      </c>
      <c r="N5" s="54" t="str">
        <f aca="false">IF(N(D5)=0,"",D5*'Ash EAB'!$B$13+'Ash EAB'!$B$15)</f>
        <v/>
      </c>
      <c r="O5" s="54" t="str">
        <f aca="false">IF(N(D5)=0,"",D5*'Ash EAB'!$B$13*'Ash EAB'!$B$14+'Ash EAB'!$B$15)</f>
        <v/>
      </c>
      <c r="P5" s="47" t="str">
        <f aca="false">IF(N(D5)=0,"",IF(M5&lt;N5,"Treat","Replace"))</f>
        <v/>
      </c>
      <c r="Q5" s="43"/>
      <c r="R5" s="37"/>
      <c r="S5" s="37" t="str">
        <f aca="false">IF(R5="","",EDATE(R5,ROUND('Ash EAB'!$B$12*12,0)))</f>
        <v/>
      </c>
      <c r="T5" s="47"/>
      <c r="U5" s="12"/>
    </row>
    <row r="6" customFormat="false" ht="15" hidden="false" customHeight="true" outlineLevel="0" collapsed="false">
      <c r="A6" s="43"/>
      <c r="B6" s="81"/>
      <c r="C6" s="12"/>
      <c r="D6" s="42"/>
      <c r="E6" s="85"/>
      <c r="F6" s="47"/>
      <c r="G6" s="47"/>
      <c r="H6" s="47"/>
      <c r="I6" s="47"/>
      <c r="J6" s="12" t="str">
        <f aca="false">IF(N(D6)=0,"",IF(N(E6)&gt;0.5,IF(I6="Y","REMOVE NOW: target at risk","REMOVE NOW"),IF(N(E6)&gt;=0.3,"GRAY ZONE: assess structure",IF(G6="High","TREAT",IF(F6="Y","REMOVE AND REPLACE","PLANT FIRST, REMOVE LATER")))))</f>
        <v/>
      </c>
      <c r="K6" s="12" t="str">
        <f aca="false">IF(N(D6)=0,"",IF(J6="TREAT","Successor if space: ","")&amp;IF(H6="Wet","Quercus bicolor or Malus fusca",IF(H6="Riparian","Natives only: Malus fusca, Salix, Q. garryana on edges",IF(H6="Upland","Quercus garryana or Q. macrocarpa","Set site type"))))</f>
        <v/>
      </c>
      <c r="L6" s="54" t="str">
        <f aca="false">IF(N(D6)=0,"",D6*'Ash EAB'!$B$11)</f>
        <v/>
      </c>
      <c r="M6" s="54" t="str">
        <f aca="false">IF(N(D6)=0,"",L6*ROUNDUP('Ash EAB'!$B$17/'Ash EAB'!$B$12,0))</f>
        <v/>
      </c>
      <c r="N6" s="54" t="str">
        <f aca="false">IF(N(D6)=0,"",D6*'Ash EAB'!$B$13+'Ash EAB'!$B$15)</f>
        <v/>
      </c>
      <c r="O6" s="54" t="str">
        <f aca="false">IF(N(D6)=0,"",D6*'Ash EAB'!$B$13*'Ash EAB'!$B$14+'Ash EAB'!$B$15)</f>
        <v/>
      </c>
      <c r="P6" s="47" t="str">
        <f aca="false">IF(N(D6)=0,"",IF(M6&lt;N6,"Treat","Replace"))</f>
        <v/>
      </c>
      <c r="Q6" s="43"/>
      <c r="R6" s="37"/>
      <c r="S6" s="37" t="str">
        <f aca="false">IF(R6="","",EDATE(R6,ROUND('Ash EAB'!$B$12*12,0)))</f>
        <v/>
      </c>
      <c r="T6" s="47"/>
      <c r="U6" s="12"/>
    </row>
    <row r="7" customFormat="false" ht="15" hidden="false" customHeight="true" outlineLevel="0" collapsed="false">
      <c r="A7" s="43"/>
      <c r="B7" s="81"/>
      <c r="C7" s="12"/>
      <c r="D7" s="42"/>
      <c r="E7" s="85"/>
      <c r="F7" s="47"/>
      <c r="G7" s="47"/>
      <c r="H7" s="47"/>
      <c r="I7" s="47"/>
      <c r="J7" s="12" t="str">
        <f aca="false">IF(N(D7)=0,"",IF(N(E7)&gt;0.5,IF(I7="Y","REMOVE NOW: target at risk","REMOVE NOW"),IF(N(E7)&gt;=0.3,"GRAY ZONE: assess structure",IF(G7="High","TREAT",IF(F7="Y","REMOVE AND REPLACE","PLANT FIRST, REMOVE LATER")))))</f>
        <v/>
      </c>
      <c r="K7" s="12" t="str">
        <f aca="false">IF(N(D7)=0,"",IF(J7="TREAT","Successor if space: ","")&amp;IF(H7="Wet","Quercus bicolor or Malus fusca",IF(H7="Riparian","Natives only: Malus fusca, Salix, Q. garryana on edges",IF(H7="Upland","Quercus garryana or Q. macrocarpa","Set site type"))))</f>
        <v/>
      </c>
      <c r="L7" s="54" t="str">
        <f aca="false">IF(N(D7)=0,"",D7*'Ash EAB'!$B$11)</f>
        <v/>
      </c>
      <c r="M7" s="54" t="str">
        <f aca="false">IF(N(D7)=0,"",L7*ROUNDUP('Ash EAB'!$B$17/'Ash EAB'!$B$12,0))</f>
        <v/>
      </c>
      <c r="N7" s="54" t="str">
        <f aca="false">IF(N(D7)=0,"",D7*'Ash EAB'!$B$13+'Ash EAB'!$B$15)</f>
        <v/>
      </c>
      <c r="O7" s="54" t="str">
        <f aca="false">IF(N(D7)=0,"",D7*'Ash EAB'!$B$13*'Ash EAB'!$B$14+'Ash EAB'!$B$15)</f>
        <v/>
      </c>
      <c r="P7" s="47" t="str">
        <f aca="false">IF(N(D7)=0,"",IF(M7&lt;N7,"Treat","Replace"))</f>
        <v/>
      </c>
      <c r="Q7" s="43"/>
      <c r="R7" s="37"/>
      <c r="S7" s="37" t="str">
        <f aca="false">IF(R7="","",EDATE(R7,ROUND('Ash EAB'!$B$12*12,0)))</f>
        <v/>
      </c>
      <c r="T7" s="47"/>
      <c r="U7" s="12"/>
    </row>
    <row r="8" customFormat="false" ht="15" hidden="false" customHeight="true" outlineLevel="0" collapsed="false">
      <c r="A8" s="43"/>
      <c r="B8" s="81"/>
      <c r="C8" s="12"/>
      <c r="D8" s="42"/>
      <c r="E8" s="85"/>
      <c r="F8" s="47"/>
      <c r="G8" s="47"/>
      <c r="H8" s="47"/>
      <c r="I8" s="47"/>
      <c r="J8" s="12" t="str">
        <f aca="false">IF(N(D8)=0,"",IF(N(E8)&gt;0.5,IF(I8="Y","REMOVE NOW: target at risk","REMOVE NOW"),IF(N(E8)&gt;=0.3,"GRAY ZONE: assess structure",IF(G8="High","TREAT",IF(F8="Y","REMOVE AND REPLACE","PLANT FIRST, REMOVE LATER")))))</f>
        <v/>
      </c>
      <c r="K8" s="12" t="str">
        <f aca="false">IF(N(D8)=0,"",IF(J8="TREAT","Successor if space: ","")&amp;IF(H8="Wet","Quercus bicolor or Malus fusca",IF(H8="Riparian","Natives only: Malus fusca, Salix, Q. garryana on edges",IF(H8="Upland","Quercus garryana or Q. macrocarpa","Set site type"))))</f>
        <v/>
      </c>
      <c r="L8" s="54" t="str">
        <f aca="false">IF(N(D8)=0,"",D8*'Ash EAB'!$B$11)</f>
        <v/>
      </c>
      <c r="M8" s="54" t="str">
        <f aca="false">IF(N(D8)=0,"",L8*ROUNDUP('Ash EAB'!$B$17/'Ash EAB'!$B$12,0))</f>
        <v/>
      </c>
      <c r="N8" s="54" t="str">
        <f aca="false">IF(N(D8)=0,"",D8*'Ash EAB'!$B$13+'Ash EAB'!$B$15)</f>
        <v/>
      </c>
      <c r="O8" s="54" t="str">
        <f aca="false">IF(N(D8)=0,"",D8*'Ash EAB'!$B$13*'Ash EAB'!$B$14+'Ash EAB'!$B$15)</f>
        <v/>
      </c>
      <c r="P8" s="47" t="str">
        <f aca="false">IF(N(D8)=0,"",IF(M8&lt;N8,"Treat","Replace"))</f>
        <v/>
      </c>
      <c r="Q8" s="43"/>
      <c r="R8" s="37"/>
      <c r="S8" s="37" t="str">
        <f aca="false">IF(R8="","",EDATE(R8,ROUND('Ash EAB'!$B$12*12,0)))</f>
        <v/>
      </c>
      <c r="T8" s="47"/>
      <c r="U8" s="12"/>
    </row>
    <row r="9" customFormat="false" ht="15" hidden="false" customHeight="true" outlineLevel="0" collapsed="false">
      <c r="A9" s="43"/>
      <c r="B9" s="81"/>
      <c r="C9" s="12"/>
      <c r="D9" s="42"/>
      <c r="E9" s="85"/>
      <c r="F9" s="47"/>
      <c r="G9" s="47"/>
      <c r="H9" s="47"/>
      <c r="I9" s="47"/>
      <c r="J9" s="12" t="str">
        <f aca="false">IF(N(D9)=0,"",IF(N(E9)&gt;0.5,IF(I9="Y","REMOVE NOW: target at risk","REMOVE NOW"),IF(N(E9)&gt;=0.3,"GRAY ZONE: assess structure",IF(G9="High","TREAT",IF(F9="Y","REMOVE AND REPLACE","PLANT FIRST, REMOVE LATER")))))</f>
        <v/>
      </c>
      <c r="K9" s="12" t="str">
        <f aca="false">IF(N(D9)=0,"",IF(J9="TREAT","Successor if space: ","")&amp;IF(H9="Wet","Quercus bicolor or Malus fusca",IF(H9="Riparian","Natives only: Malus fusca, Salix, Q. garryana on edges",IF(H9="Upland","Quercus garryana or Q. macrocarpa","Set site type"))))</f>
        <v/>
      </c>
      <c r="L9" s="54" t="str">
        <f aca="false">IF(N(D9)=0,"",D9*'Ash EAB'!$B$11)</f>
        <v/>
      </c>
      <c r="M9" s="54" t="str">
        <f aca="false">IF(N(D9)=0,"",L9*ROUNDUP('Ash EAB'!$B$17/'Ash EAB'!$B$12,0))</f>
        <v/>
      </c>
      <c r="N9" s="54" t="str">
        <f aca="false">IF(N(D9)=0,"",D9*'Ash EAB'!$B$13+'Ash EAB'!$B$15)</f>
        <v/>
      </c>
      <c r="O9" s="54" t="str">
        <f aca="false">IF(N(D9)=0,"",D9*'Ash EAB'!$B$13*'Ash EAB'!$B$14+'Ash EAB'!$B$15)</f>
        <v/>
      </c>
      <c r="P9" s="47" t="str">
        <f aca="false">IF(N(D9)=0,"",IF(M9&lt;N9,"Treat","Replace"))</f>
        <v/>
      </c>
      <c r="Q9" s="43"/>
      <c r="R9" s="37"/>
      <c r="S9" s="37" t="str">
        <f aca="false">IF(R9="","",EDATE(R9,ROUND('Ash EAB'!$B$12*12,0)))</f>
        <v/>
      </c>
      <c r="T9" s="47"/>
      <c r="U9" s="12"/>
    </row>
    <row r="10" customFormat="false" ht="15" hidden="false" customHeight="true" outlineLevel="0" collapsed="false">
      <c r="A10" s="43"/>
      <c r="B10" s="81"/>
      <c r="C10" s="12"/>
      <c r="D10" s="42"/>
      <c r="E10" s="85"/>
      <c r="F10" s="47"/>
      <c r="G10" s="47"/>
      <c r="H10" s="47"/>
      <c r="I10" s="47"/>
      <c r="J10" s="12" t="str">
        <f aca="false">IF(N(D10)=0,"",IF(N(E10)&gt;0.5,IF(I10="Y","REMOVE NOW: target at risk","REMOVE NOW"),IF(N(E10)&gt;=0.3,"GRAY ZONE: assess structure",IF(G10="High","TREAT",IF(F10="Y","REMOVE AND REPLACE","PLANT FIRST, REMOVE LATER")))))</f>
        <v/>
      </c>
      <c r="K10" s="12" t="str">
        <f aca="false">IF(N(D10)=0,"",IF(J10="TREAT","Successor if space: ","")&amp;IF(H10="Wet","Quercus bicolor or Malus fusca",IF(H10="Riparian","Natives only: Malus fusca, Salix, Q. garryana on edges",IF(H10="Upland","Quercus garryana or Q. macrocarpa","Set site type"))))</f>
        <v/>
      </c>
      <c r="L10" s="54" t="str">
        <f aca="false">IF(N(D10)=0,"",D10*'Ash EAB'!$B$11)</f>
        <v/>
      </c>
      <c r="M10" s="54" t="str">
        <f aca="false">IF(N(D10)=0,"",L10*ROUNDUP('Ash EAB'!$B$17/'Ash EAB'!$B$12,0))</f>
        <v/>
      </c>
      <c r="N10" s="54" t="str">
        <f aca="false">IF(N(D10)=0,"",D10*'Ash EAB'!$B$13+'Ash EAB'!$B$15)</f>
        <v/>
      </c>
      <c r="O10" s="54" t="str">
        <f aca="false">IF(N(D10)=0,"",D10*'Ash EAB'!$B$13*'Ash EAB'!$B$14+'Ash EAB'!$B$15)</f>
        <v/>
      </c>
      <c r="P10" s="47" t="str">
        <f aca="false">IF(N(D10)=0,"",IF(M10&lt;N10,"Treat","Replace"))</f>
        <v/>
      </c>
      <c r="Q10" s="43"/>
      <c r="R10" s="37"/>
      <c r="S10" s="37" t="str">
        <f aca="false">IF(R10="","",EDATE(R10,ROUND('Ash EAB'!$B$12*12,0)))</f>
        <v/>
      </c>
      <c r="T10" s="47"/>
      <c r="U10" s="12"/>
    </row>
    <row r="11" customFormat="false" ht="15" hidden="false" customHeight="true" outlineLevel="0" collapsed="false">
      <c r="A11" s="43"/>
      <c r="B11" s="81"/>
      <c r="C11" s="12"/>
      <c r="D11" s="42"/>
      <c r="E11" s="85"/>
      <c r="F11" s="47"/>
      <c r="G11" s="47"/>
      <c r="H11" s="47"/>
      <c r="I11" s="47"/>
      <c r="J11" s="12" t="str">
        <f aca="false">IF(N(D11)=0,"",IF(N(E11)&gt;0.5,IF(I11="Y","REMOVE NOW: target at risk","REMOVE NOW"),IF(N(E11)&gt;=0.3,"GRAY ZONE: assess structure",IF(G11="High","TREAT",IF(F11="Y","REMOVE AND REPLACE","PLANT FIRST, REMOVE LATER")))))</f>
        <v/>
      </c>
      <c r="K11" s="12" t="str">
        <f aca="false">IF(N(D11)=0,"",IF(J11="TREAT","Successor if space: ","")&amp;IF(H11="Wet","Quercus bicolor or Malus fusca",IF(H11="Riparian","Natives only: Malus fusca, Salix, Q. garryana on edges",IF(H11="Upland","Quercus garryana or Q. macrocarpa","Set site type"))))</f>
        <v/>
      </c>
      <c r="L11" s="54" t="str">
        <f aca="false">IF(N(D11)=0,"",D11*'Ash EAB'!$B$11)</f>
        <v/>
      </c>
      <c r="M11" s="54" t="str">
        <f aca="false">IF(N(D11)=0,"",L11*ROUNDUP('Ash EAB'!$B$17/'Ash EAB'!$B$12,0))</f>
        <v/>
      </c>
      <c r="N11" s="54" t="str">
        <f aca="false">IF(N(D11)=0,"",D11*'Ash EAB'!$B$13+'Ash EAB'!$B$15)</f>
        <v/>
      </c>
      <c r="O11" s="54" t="str">
        <f aca="false">IF(N(D11)=0,"",D11*'Ash EAB'!$B$13*'Ash EAB'!$B$14+'Ash EAB'!$B$15)</f>
        <v/>
      </c>
      <c r="P11" s="47" t="str">
        <f aca="false">IF(N(D11)=0,"",IF(M11&lt;N11,"Treat","Replace"))</f>
        <v/>
      </c>
      <c r="Q11" s="43"/>
      <c r="R11" s="37"/>
      <c r="S11" s="37" t="str">
        <f aca="false">IF(R11="","",EDATE(R11,ROUND('Ash EAB'!$B$12*12,0)))</f>
        <v/>
      </c>
      <c r="T11" s="47"/>
      <c r="U11" s="12"/>
    </row>
    <row r="12" customFormat="false" ht="15" hidden="false" customHeight="true" outlineLevel="0" collapsed="false">
      <c r="A12" s="43"/>
      <c r="B12" s="81"/>
      <c r="C12" s="12"/>
      <c r="D12" s="42"/>
      <c r="E12" s="85"/>
      <c r="F12" s="47"/>
      <c r="G12" s="47"/>
      <c r="H12" s="47"/>
      <c r="I12" s="47"/>
      <c r="J12" s="12" t="str">
        <f aca="false">IF(N(D12)=0,"",IF(N(E12)&gt;0.5,IF(I12="Y","REMOVE NOW: target at risk","REMOVE NOW"),IF(N(E12)&gt;=0.3,"GRAY ZONE: assess structure",IF(G12="High","TREAT",IF(F12="Y","REMOVE AND REPLACE","PLANT FIRST, REMOVE LATER")))))</f>
        <v/>
      </c>
      <c r="K12" s="12" t="str">
        <f aca="false">IF(N(D12)=0,"",IF(J12="TREAT","Successor if space: ","")&amp;IF(H12="Wet","Quercus bicolor or Malus fusca",IF(H12="Riparian","Natives only: Malus fusca, Salix, Q. garryana on edges",IF(H12="Upland","Quercus garryana or Q. macrocarpa","Set site type"))))</f>
        <v/>
      </c>
      <c r="L12" s="54" t="str">
        <f aca="false">IF(N(D12)=0,"",D12*'Ash EAB'!$B$11)</f>
        <v/>
      </c>
      <c r="M12" s="54" t="str">
        <f aca="false">IF(N(D12)=0,"",L12*ROUNDUP('Ash EAB'!$B$17/'Ash EAB'!$B$12,0))</f>
        <v/>
      </c>
      <c r="N12" s="54" t="str">
        <f aca="false">IF(N(D12)=0,"",D12*'Ash EAB'!$B$13+'Ash EAB'!$B$15)</f>
        <v/>
      </c>
      <c r="O12" s="54" t="str">
        <f aca="false">IF(N(D12)=0,"",D12*'Ash EAB'!$B$13*'Ash EAB'!$B$14+'Ash EAB'!$B$15)</f>
        <v/>
      </c>
      <c r="P12" s="47" t="str">
        <f aca="false">IF(N(D12)=0,"",IF(M12&lt;N12,"Treat","Replace"))</f>
        <v/>
      </c>
      <c r="Q12" s="43"/>
      <c r="R12" s="37"/>
      <c r="S12" s="37" t="str">
        <f aca="false">IF(R12="","",EDATE(R12,ROUND('Ash EAB'!$B$12*12,0)))</f>
        <v/>
      </c>
      <c r="T12" s="47"/>
      <c r="U12" s="12"/>
    </row>
    <row r="13" customFormat="false" ht="15" hidden="false" customHeight="true" outlineLevel="0" collapsed="false">
      <c r="A13" s="43"/>
      <c r="B13" s="81"/>
      <c r="C13" s="12"/>
      <c r="D13" s="42"/>
      <c r="E13" s="85"/>
      <c r="F13" s="47"/>
      <c r="G13" s="47"/>
      <c r="H13" s="47"/>
      <c r="I13" s="47"/>
      <c r="J13" s="12" t="str">
        <f aca="false">IF(N(D13)=0,"",IF(N(E13)&gt;0.5,IF(I13="Y","REMOVE NOW: target at risk","REMOVE NOW"),IF(N(E13)&gt;=0.3,"GRAY ZONE: assess structure",IF(G13="High","TREAT",IF(F13="Y","REMOVE AND REPLACE","PLANT FIRST, REMOVE LATER")))))</f>
        <v/>
      </c>
      <c r="K13" s="12" t="str">
        <f aca="false">IF(N(D13)=0,"",IF(J13="TREAT","Successor if space: ","")&amp;IF(H13="Wet","Quercus bicolor or Malus fusca",IF(H13="Riparian","Natives only: Malus fusca, Salix, Q. garryana on edges",IF(H13="Upland","Quercus garryana or Q. macrocarpa","Set site type"))))</f>
        <v/>
      </c>
      <c r="L13" s="54" t="str">
        <f aca="false">IF(N(D13)=0,"",D13*'Ash EAB'!$B$11)</f>
        <v/>
      </c>
      <c r="M13" s="54" t="str">
        <f aca="false">IF(N(D13)=0,"",L13*ROUNDUP('Ash EAB'!$B$17/'Ash EAB'!$B$12,0))</f>
        <v/>
      </c>
      <c r="N13" s="54" t="str">
        <f aca="false">IF(N(D13)=0,"",D13*'Ash EAB'!$B$13+'Ash EAB'!$B$15)</f>
        <v/>
      </c>
      <c r="O13" s="54" t="str">
        <f aca="false">IF(N(D13)=0,"",D13*'Ash EAB'!$B$13*'Ash EAB'!$B$14+'Ash EAB'!$B$15)</f>
        <v/>
      </c>
      <c r="P13" s="47" t="str">
        <f aca="false">IF(N(D13)=0,"",IF(M13&lt;N13,"Treat","Replace"))</f>
        <v/>
      </c>
      <c r="Q13" s="43"/>
      <c r="R13" s="37"/>
      <c r="S13" s="37" t="str">
        <f aca="false">IF(R13="","",EDATE(R13,ROUND('Ash EAB'!$B$12*12,0)))</f>
        <v/>
      </c>
      <c r="T13" s="47"/>
      <c r="U13" s="12"/>
    </row>
    <row r="14" customFormat="false" ht="15" hidden="false" customHeight="true" outlineLevel="0" collapsed="false">
      <c r="A14" s="43"/>
      <c r="B14" s="81"/>
      <c r="C14" s="12"/>
      <c r="D14" s="42"/>
      <c r="E14" s="85"/>
      <c r="F14" s="47"/>
      <c r="G14" s="47"/>
      <c r="H14" s="47"/>
      <c r="I14" s="47"/>
      <c r="J14" s="12" t="str">
        <f aca="false">IF(N(D14)=0,"",IF(N(E14)&gt;0.5,IF(I14="Y","REMOVE NOW: target at risk","REMOVE NOW"),IF(N(E14)&gt;=0.3,"GRAY ZONE: assess structure",IF(G14="High","TREAT",IF(F14="Y","REMOVE AND REPLACE","PLANT FIRST, REMOVE LATER")))))</f>
        <v/>
      </c>
      <c r="K14" s="12" t="str">
        <f aca="false">IF(N(D14)=0,"",IF(J14="TREAT","Successor if space: ","")&amp;IF(H14="Wet","Quercus bicolor or Malus fusca",IF(H14="Riparian","Natives only: Malus fusca, Salix, Q. garryana on edges",IF(H14="Upland","Quercus garryana or Q. macrocarpa","Set site type"))))</f>
        <v/>
      </c>
      <c r="L14" s="54" t="str">
        <f aca="false">IF(N(D14)=0,"",D14*'Ash EAB'!$B$11)</f>
        <v/>
      </c>
      <c r="M14" s="54" t="str">
        <f aca="false">IF(N(D14)=0,"",L14*ROUNDUP('Ash EAB'!$B$17/'Ash EAB'!$B$12,0))</f>
        <v/>
      </c>
      <c r="N14" s="54" t="str">
        <f aca="false">IF(N(D14)=0,"",D14*'Ash EAB'!$B$13+'Ash EAB'!$B$15)</f>
        <v/>
      </c>
      <c r="O14" s="54" t="str">
        <f aca="false">IF(N(D14)=0,"",D14*'Ash EAB'!$B$13*'Ash EAB'!$B$14+'Ash EAB'!$B$15)</f>
        <v/>
      </c>
      <c r="P14" s="47" t="str">
        <f aca="false">IF(N(D14)=0,"",IF(M14&lt;N14,"Treat","Replace"))</f>
        <v/>
      </c>
      <c r="Q14" s="43"/>
      <c r="R14" s="37"/>
      <c r="S14" s="37" t="str">
        <f aca="false">IF(R14="","",EDATE(R14,ROUND('Ash EAB'!$B$12*12,0)))</f>
        <v/>
      </c>
      <c r="T14" s="47"/>
      <c r="U14" s="12"/>
    </row>
    <row r="15" customFormat="false" ht="15" hidden="false" customHeight="true" outlineLevel="0" collapsed="false">
      <c r="A15" s="43"/>
      <c r="B15" s="81"/>
      <c r="C15" s="12"/>
      <c r="D15" s="42"/>
      <c r="E15" s="85"/>
      <c r="F15" s="47"/>
      <c r="G15" s="47"/>
      <c r="H15" s="47"/>
      <c r="I15" s="47"/>
      <c r="J15" s="12" t="str">
        <f aca="false">IF(N(D15)=0,"",IF(N(E15)&gt;0.5,IF(I15="Y","REMOVE NOW: target at risk","REMOVE NOW"),IF(N(E15)&gt;=0.3,"GRAY ZONE: assess structure",IF(G15="High","TREAT",IF(F15="Y","REMOVE AND REPLACE","PLANT FIRST, REMOVE LATER")))))</f>
        <v/>
      </c>
      <c r="K15" s="12" t="str">
        <f aca="false">IF(N(D15)=0,"",IF(J15="TREAT","Successor if space: ","")&amp;IF(H15="Wet","Quercus bicolor or Malus fusca",IF(H15="Riparian","Natives only: Malus fusca, Salix, Q. garryana on edges",IF(H15="Upland","Quercus garryana or Q. macrocarpa","Set site type"))))</f>
        <v/>
      </c>
      <c r="L15" s="54" t="str">
        <f aca="false">IF(N(D15)=0,"",D15*'Ash EAB'!$B$11)</f>
        <v/>
      </c>
      <c r="M15" s="54" t="str">
        <f aca="false">IF(N(D15)=0,"",L15*ROUNDUP('Ash EAB'!$B$17/'Ash EAB'!$B$12,0))</f>
        <v/>
      </c>
      <c r="N15" s="54" t="str">
        <f aca="false">IF(N(D15)=0,"",D15*'Ash EAB'!$B$13+'Ash EAB'!$B$15)</f>
        <v/>
      </c>
      <c r="O15" s="54" t="str">
        <f aca="false">IF(N(D15)=0,"",D15*'Ash EAB'!$B$13*'Ash EAB'!$B$14+'Ash EAB'!$B$15)</f>
        <v/>
      </c>
      <c r="P15" s="47" t="str">
        <f aca="false">IF(N(D15)=0,"",IF(M15&lt;N15,"Treat","Replace"))</f>
        <v/>
      </c>
      <c r="Q15" s="43"/>
      <c r="R15" s="37"/>
      <c r="S15" s="37" t="str">
        <f aca="false">IF(R15="","",EDATE(R15,ROUND('Ash EAB'!$B$12*12,0)))</f>
        <v/>
      </c>
      <c r="T15" s="47"/>
      <c r="U15" s="12"/>
    </row>
    <row r="16" customFormat="false" ht="15" hidden="false" customHeight="true" outlineLevel="0" collapsed="false">
      <c r="A16" s="43"/>
      <c r="B16" s="81"/>
      <c r="C16" s="12"/>
      <c r="D16" s="42"/>
      <c r="E16" s="85"/>
      <c r="F16" s="47"/>
      <c r="G16" s="47"/>
      <c r="H16" s="47"/>
      <c r="I16" s="47"/>
      <c r="J16" s="12" t="str">
        <f aca="false">IF(N(D16)=0,"",IF(N(E16)&gt;0.5,IF(I16="Y","REMOVE NOW: target at risk","REMOVE NOW"),IF(N(E16)&gt;=0.3,"GRAY ZONE: assess structure",IF(G16="High","TREAT",IF(F16="Y","REMOVE AND REPLACE","PLANT FIRST, REMOVE LATER")))))</f>
        <v/>
      </c>
      <c r="K16" s="12" t="str">
        <f aca="false">IF(N(D16)=0,"",IF(J16="TREAT","Successor if space: ","")&amp;IF(H16="Wet","Quercus bicolor or Malus fusca",IF(H16="Riparian","Natives only: Malus fusca, Salix, Q. garryana on edges",IF(H16="Upland","Quercus garryana or Q. macrocarpa","Set site type"))))</f>
        <v/>
      </c>
      <c r="L16" s="54" t="str">
        <f aca="false">IF(N(D16)=0,"",D16*'Ash EAB'!$B$11)</f>
        <v/>
      </c>
      <c r="M16" s="54" t="str">
        <f aca="false">IF(N(D16)=0,"",L16*ROUNDUP('Ash EAB'!$B$17/'Ash EAB'!$B$12,0))</f>
        <v/>
      </c>
      <c r="N16" s="54" t="str">
        <f aca="false">IF(N(D16)=0,"",D16*'Ash EAB'!$B$13+'Ash EAB'!$B$15)</f>
        <v/>
      </c>
      <c r="O16" s="54" t="str">
        <f aca="false">IF(N(D16)=0,"",D16*'Ash EAB'!$B$13*'Ash EAB'!$B$14+'Ash EAB'!$B$15)</f>
        <v/>
      </c>
      <c r="P16" s="47" t="str">
        <f aca="false">IF(N(D16)=0,"",IF(M16&lt;N16,"Treat","Replace"))</f>
        <v/>
      </c>
      <c r="Q16" s="43"/>
      <c r="R16" s="37"/>
      <c r="S16" s="37" t="str">
        <f aca="false">IF(R16="","",EDATE(R16,ROUND('Ash EAB'!$B$12*12,0)))</f>
        <v/>
      </c>
      <c r="T16" s="47"/>
      <c r="U16" s="12"/>
    </row>
    <row r="17" customFormat="false" ht="15" hidden="false" customHeight="true" outlineLevel="0" collapsed="false">
      <c r="A17" s="43"/>
      <c r="B17" s="81"/>
      <c r="C17" s="12"/>
      <c r="D17" s="42"/>
      <c r="E17" s="85"/>
      <c r="F17" s="47"/>
      <c r="G17" s="47"/>
      <c r="H17" s="47"/>
      <c r="I17" s="47"/>
      <c r="J17" s="12" t="str">
        <f aca="false">IF(N(D17)=0,"",IF(N(E17)&gt;0.5,IF(I17="Y","REMOVE NOW: target at risk","REMOVE NOW"),IF(N(E17)&gt;=0.3,"GRAY ZONE: assess structure",IF(G17="High","TREAT",IF(F17="Y","REMOVE AND REPLACE","PLANT FIRST, REMOVE LATER")))))</f>
        <v/>
      </c>
      <c r="K17" s="12" t="str">
        <f aca="false">IF(N(D17)=0,"",IF(J17="TREAT","Successor if space: ","")&amp;IF(H17="Wet","Quercus bicolor or Malus fusca",IF(H17="Riparian","Natives only: Malus fusca, Salix, Q. garryana on edges",IF(H17="Upland","Quercus garryana or Q. macrocarpa","Set site type"))))</f>
        <v/>
      </c>
      <c r="L17" s="54" t="str">
        <f aca="false">IF(N(D17)=0,"",D17*'Ash EAB'!$B$11)</f>
        <v/>
      </c>
      <c r="M17" s="54" t="str">
        <f aca="false">IF(N(D17)=0,"",L17*ROUNDUP('Ash EAB'!$B$17/'Ash EAB'!$B$12,0))</f>
        <v/>
      </c>
      <c r="N17" s="54" t="str">
        <f aca="false">IF(N(D17)=0,"",D17*'Ash EAB'!$B$13+'Ash EAB'!$B$15)</f>
        <v/>
      </c>
      <c r="O17" s="54" t="str">
        <f aca="false">IF(N(D17)=0,"",D17*'Ash EAB'!$B$13*'Ash EAB'!$B$14+'Ash EAB'!$B$15)</f>
        <v/>
      </c>
      <c r="P17" s="47" t="str">
        <f aca="false">IF(N(D17)=0,"",IF(M17&lt;N17,"Treat","Replace"))</f>
        <v/>
      </c>
      <c r="Q17" s="43"/>
      <c r="R17" s="37"/>
      <c r="S17" s="37" t="str">
        <f aca="false">IF(R17="","",EDATE(R17,ROUND('Ash EAB'!$B$12*12,0)))</f>
        <v/>
      </c>
      <c r="T17" s="47"/>
      <c r="U17" s="12"/>
    </row>
    <row r="18" customFormat="false" ht="15" hidden="false" customHeight="true" outlineLevel="0" collapsed="false">
      <c r="A18" s="43"/>
      <c r="B18" s="81"/>
      <c r="C18" s="12"/>
      <c r="D18" s="42"/>
      <c r="E18" s="85"/>
      <c r="F18" s="47"/>
      <c r="G18" s="47"/>
      <c r="H18" s="47"/>
      <c r="I18" s="47"/>
      <c r="J18" s="12" t="str">
        <f aca="false">IF(N(D18)=0,"",IF(N(E18)&gt;0.5,IF(I18="Y","REMOVE NOW: target at risk","REMOVE NOW"),IF(N(E18)&gt;=0.3,"GRAY ZONE: assess structure",IF(G18="High","TREAT",IF(F18="Y","REMOVE AND REPLACE","PLANT FIRST, REMOVE LATER")))))</f>
        <v/>
      </c>
      <c r="K18" s="12" t="str">
        <f aca="false">IF(N(D18)=0,"",IF(J18="TREAT","Successor if space: ","")&amp;IF(H18="Wet","Quercus bicolor or Malus fusca",IF(H18="Riparian","Natives only: Malus fusca, Salix, Q. garryana on edges",IF(H18="Upland","Quercus garryana or Q. macrocarpa","Set site type"))))</f>
        <v/>
      </c>
      <c r="L18" s="54" t="str">
        <f aca="false">IF(N(D18)=0,"",D18*'Ash EAB'!$B$11)</f>
        <v/>
      </c>
      <c r="M18" s="54" t="str">
        <f aca="false">IF(N(D18)=0,"",L18*ROUNDUP('Ash EAB'!$B$17/'Ash EAB'!$B$12,0))</f>
        <v/>
      </c>
      <c r="N18" s="54" t="str">
        <f aca="false">IF(N(D18)=0,"",D18*'Ash EAB'!$B$13+'Ash EAB'!$B$15)</f>
        <v/>
      </c>
      <c r="O18" s="54" t="str">
        <f aca="false">IF(N(D18)=0,"",D18*'Ash EAB'!$B$13*'Ash EAB'!$B$14+'Ash EAB'!$B$15)</f>
        <v/>
      </c>
      <c r="P18" s="47" t="str">
        <f aca="false">IF(N(D18)=0,"",IF(M18&lt;N18,"Treat","Replace"))</f>
        <v/>
      </c>
      <c r="Q18" s="43"/>
      <c r="R18" s="37"/>
      <c r="S18" s="37" t="str">
        <f aca="false">IF(R18="","",EDATE(R18,ROUND('Ash EAB'!$B$12*12,0)))</f>
        <v/>
      </c>
      <c r="T18" s="47"/>
      <c r="U18" s="12"/>
    </row>
    <row r="19" customFormat="false" ht="15" hidden="false" customHeight="true" outlineLevel="0" collapsed="false">
      <c r="A19" s="43"/>
      <c r="B19" s="81"/>
      <c r="C19" s="12"/>
      <c r="D19" s="42"/>
      <c r="E19" s="85"/>
      <c r="F19" s="47"/>
      <c r="G19" s="47"/>
      <c r="H19" s="47"/>
      <c r="I19" s="47"/>
      <c r="J19" s="12" t="str">
        <f aca="false">IF(N(D19)=0,"",IF(N(E19)&gt;0.5,IF(I19="Y","REMOVE NOW: target at risk","REMOVE NOW"),IF(N(E19)&gt;=0.3,"GRAY ZONE: assess structure",IF(G19="High","TREAT",IF(F19="Y","REMOVE AND REPLACE","PLANT FIRST, REMOVE LATER")))))</f>
        <v/>
      </c>
      <c r="K19" s="12" t="str">
        <f aca="false">IF(N(D19)=0,"",IF(J19="TREAT","Successor if space: ","")&amp;IF(H19="Wet","Quercus bicolor or Malus fusca",IF(H19="Riparian","Natives only: Malus fusca, Salix, Q. garryana on edges",IF(H19="Upland","Quercus garryana or Q. macrocarpa","Set site type"))))</f>
        <v/>
      </c>
      <c r="L19" s="54" t="str">
        <f aca="false">IF(N(D19)=0,"",D19*'Ash EAB'!$B$11)</f>
        <v/>
      </c>
      <c r="M19" s="54" t="str">
        <f aca="false">IF(N(D19)=0,"",L19*ROUNDUP('Ash EAB'!$B$17/'Ash EAB'!$B$12,0))</f>
        <v/>
      </c>
      <c r="N19" s="54" t="str">
        <f aca="false">IF(N(D19)=0,"",D19*'Ash EAB'!$B$13+'Ash EAB'!$B$15)</f>
        <v/>
      </c>
      <c r="O19" s="54" t="str">
        <f aca="false">IF(N(D19)=0,"",D19*'Ash EAB'!$B$13*'Ash EAB'!$B$14+'Ash EAB'!$B$15)</f>
        <v/>
      </c>
      <c r="P19" s="47" t="str">
        <f aca="false">IF(N(D19)=0,"",IF(M19&lt;N19,"Treat","Replace"))</f>
        <v/>
      </c>
      <c r="Q19" s="43"/>
      <c r="R19" s="37"/>
      <c r="S19" s="37" t="str">
        <f aca="false">IF(R19="","",EDATE(R19,ROUND('Ash EAB'!$B$12*12,0)))</f>
        <v/>
      </c>
      <c r="T19" s="47"/>
      <c r="U19" s="12"/>
    </row>
    <row r="20" customFormat="false" ht="15" hidden="false" customHeight="true" outlineLevel="0" collapsed="false">
      <c r="A20" s="43"/>
      <c r="B20" s="81"/>
      <c r="C20" s="12"/>
      <c r="D20" s="42"/>
      <c r="E20" s="85"/>
      <c r="F20" s="47"/>
      <c r="G20" s="47"/>
      <c r="H20" s="47"/>
      <c r="I20" s="47"/>
      <c r="J20" s="12" t="str">
        <f aca="false">IF(N(D20)=0,"",IF(N(E20)&gt;0.5,IF(I20="Y","REMOVE NOW: target at risk","REMOVE NOW"),IF(N(E20)&gt;=0.3,"GRAY ZONE: assess structure",IF(G20="High","TREAT",IF(F20="Y","REMOVE AND REPLACE","PLANT FIRST, REMOVE LATER")))))</f>
        <v/>
      </c>
      <c r="K20" s="12" t="str">
        <f aca="false">IF(N(D20)=0,"",IF(J20="TREAT","Successor if space: ","")&amp;IF(H20="Wet","Quercus bicolor or Malus fusca",IF(H20="Riparian","Natives only: Malus fusca, Salix, Q. garryana on edges",IF(H20="Upland","Quercus garryana or Q. macrocarpa","Set site type"))))</f>
        <v/>
      </c>
      <c r="L20" s="54" t="str">
        <f aca="false">IF(N(D20)=0,"",D20*'Ash EAB'!$B$11)</f>
        <v/>
      </c>
      <c r="M20" s="54" t="str">
        <f aca="false">IF(N(D20)=0,"",L20*ROUNDUP('Ash EAB'!$B$17/'Ash EAB'!$B$12,0))</f>
        <v/>
      </c>
      <c r="N20" s="54" t="str">
        <f aca="false">IF(N(D20)=0,"",D20*'Ash EAB'!$B$13+'Ash EAB'!$B$15)</f>
        <v/>
      </c>
      <c r="O20" s="54" t="str">
        <f aca="false">IF(N(D20)=0,"",D20*'Ash EAB'!$B$13*'Ash EAB'!$B$14+'Ash EAB'!$B$15)</f>
        <v/>
      </c>
      <c r="P20" s="47" t="str">
        <f aca="false">IF(N(D20)=0,"",IF(M20&lt;N20,"Treat","Replace"))</f>
        <v/>
      </c>
      <c r="Q20" s="43"/>
      <c r="R20" s="37"/>
      <c r="S20" s="37" t="str">
        <f aca="false">IF(R20="","",EDATE(R20,ROUND('Ash EAB'!$B$12*12,0)))</f>
        <v/>
      </c>
      <c r="T20" s="47"/>
      <c r="U20" s="12"/>
    </row>
    <row r="21" customFormat="false" ht="15" hidden="false" customHeight="true" outlineLevel="0" collapsed="false">
      <c r="A21" s="43"/>
      <c r="B21" s="81"/>
      <c r="C21" s="12"/>
      <c r="D21" s="42"/>
      <c r="E21" s="85"/>
      <c r="F21" s="47"/>
      <c r="G21" s="47"/>
      <c r="H21" s="47"/>
      <c r="I21" s="47"/>
      <c r="J21" s="12" t="str">
        <f aca="false">IF(N(D21)=0,"",IF(N(E21)&gt;0.5,IF(I21="Y","REMOVE NOW: target at risk","REMOVE NOW"),IF(N(E21)&gt;=0.3,"GRAY ZONE: assess structure",IF(G21="High","TREAT",IF(F21="Y","REMOVE AND REPLACE","PLANT FIRST, REMOVE LATER")))))</f>
        <v/>
      </c>
      <c r="K21" s="12" t="str">
        <f aca="false">IF(N(D21)=0,"",IF(J21="TREAT","Successor if space: ","")&amp;IF(H21="Wet","Quercus bicolor or Malus fusca",IF(H21="Riparian","Natives only: Malus fusca, Salix, Q. garryana on edges",IF(H21="Upland","Quercus garryana or Q. macrocarpa","Set site type"))))</f>
        <v/>
      </c>
      <c r="L21" s="54" t="str">
        <f aca="false">IF(N(D21)=0,"",D21*'Ash EAB'!$B$11)</f>
        <v/>
      </c>
      <c r="M21" s="54" t="str">
        <f aca="false">IF(N(D21)=0,"",L21*ROUNDUP('Ash EAB'!$B$17/'Ash EAB'!$B$12,0))</f>
        <v/>
      </c>
      <c r="N21" s="54" t="str">
        <f aca="false">IF(N(D21)=0,"",D21*'Ash EAB'!$B$13+'Ash EAB'!$B$15)</f>
        <v/>
      </c>
      <c r="O21" s="54" t="str">
        <f aca="false">IF(N(D21)=0,"",D21*'Ash EAB'!$B$13*'Ash EAB'!$B$14+'Ash EAB'!$B$15)</f>
        <v/>
      </c>
      <c r="P21" s="47" t="str">
        <f aca="false">IF(N(D21)=0,"",IF(M21&lt;N21,"Treat","Replace"))</f>
        <v/>
      </c>
      <c r="Q21" s="43"/>
      <c r="R21" s="37"/>
      <c r="S21" s="37" t="str">
        <f aca="false">IF(R21="","",EDATE(R21,ROUND('Ash EAB'!$B$12*12,0)))</f>
        <v/>
      </c>
      <c r="T21" s="47"/>
      <c r="U21" s="12"/>
    </row>
    <row r="22" customFormat="false" ht="15" hidden="false" customHeight="true" outlineLevel="0" collapsed="false">
      <c r="A22" s="43"/>
      <c r="B22" s="81"/>
      <c r="C22" s="12"/>
      <c r="D22" s="42"/>
      <c r="E22" s="85"/>
      <c r="F22" s="47"/>
      <c r="G22" s="47"/>
      <c r="H22" s="47"/>
      <c r="I22" s="47"/>
      <c r="J22" s="12" t="str">
        <f aca="false">IF(N(D22)=0,"",IF(N(E22)&gt;0.5,IF(I22="Y","REMOVE NOW: target at risk","REMOVE NOW"),IF(N(E22)&gt;=0.3,"GRAY ZONE: assess structure",IF(G22="High","TREAT",IF(F22="Y","REMOVE AND REPLACE","PLANT FIRST, REMOVE LATER")))))</f>
        <v/>
      </c>
      <c r="K22" s="12" t="str">
        <f aca="false">IF(N(D22)=0,"",IF(J22="TREAT","Successor if space: ","")&amp;IF(H22="Wet","Quercus bicolor or Malus fusca",IF(H22="Riparian","Natives only: Malus fusca, Salix, Q. garryana on edges",IF(H22="Upland","Quercus garryana or Q. macrocarpa","Set site type"))))</f>
        <v/>
      </c>
      <c r="L22" s="54" t="str">
        <f aca="false">IF(N(D22)=0,"",D22*'Ash EAB'!$B$11)</f>
        <v/>
      </c>
      <c r="M22" s="54" t="str">
        <f aca="false">IF(N(D22)=0,"",L22*ROUNDUP('Ash EAB'!$B$17/'Ash EAB'!$B$12,0))</f>
        <v/>
      </c>
      <c r="N22" s="54" t="str">
        <f aca="false">IF(N(D22)=0,"",D22*'Ash EAB'!$B$13+'Ash EAB'!$B$15)</f>
        <v/>
      </c>
      <c r="O22" s="54" t="str">
        <f aca="false">IF(N(D22)=0,"",D22*'Ash EAB'!$B$13*'Ash EAB'!$B$14+'Ash EAB'!$B$15)</f>
        <v/>
      </c>
      <c r="P22" s="47" t="str">
        <f aca="false">IF(N(D22)=0,"",IF(M22&lt;N22,"Treat","Replace"))</f>
        <v/>
      </c>
      <c r="Q22" s="43"/>
      <c r="R22" s="37"/>
      <c r="S22" s="37" t="str">
        <f aca="false">IF(R22="","",EDATE(R22,ROUND('Ash EAB'!$B$12*12,0)))</f>
        <v/>
      </c>
      <c r="T22" s="47"/>
      <c r="U22" s="12"/>
    </row>
    <row r="23" customFormat="false" ht="15" hidden="false" customHeight="true" outlineLevel="0" collapsed="false">
      <c r="A23" s="43"/>
      <c r="B23" s="81"/>
      <c r="C23" s="12"/>
      <c r="D23" s="42"/>
      <c r="E23" s="85"/>
      <c r="F23" s="47"/>
      <c r="G23" s="47"/>
      <c r="H23" s="47"/>
      <c r="I23" s="47"/>
      <c r="J23" s="12" t="str">
        <f aca="false">IF(N(D23)=0,"",IF(N(E23)&gt;0.5,IF(I23="Y","REMOVE NOW: target at risk","REMOVE NOW"),IF(N(E23)&gt;=0.3,"GRAY ZONE: assess structure",IF(G23="High","TREAT",IF(F23="Y","REMOVE AND REPLACE","PLANT FIRST, REMOVE LATER")))))</f>
        <v/>
      </c>
      <c r="K23" s="12" t="str">
        <f aca="false">IF(N(D23)=0,"",IF(J23="TREAT","Successor if space: ","")&amp;IF(H23="Wet","Quercus bicolor or Malus fusca",IF(H23="Riparian","Natives only: Malus fusca, Salix, Q. garryana on edges",IF(H23="Upland","Quercus garryana or Q. macrocarpa","Set site type"))))</f>
        <v/>
      </c>
      <c r="L23" s="54" t="str">
        <f aca="false">IF(N(D23)=0,"",D23*'Ash EAB'!$B$11)</f>
        <v/>
      </c>
      <c r="M23" s="54" t="str">
        <f aca="false">IF(N(D23)=0,"",L23*ROUNDUP('Ash EAB'!$B$17/'Ash EAB'!$B$12,0))</f>
        <v/>
      </c>
      <c r="N23" s="54" t="str">
        <f aca="false">IF(N(D23)=0,"",D23*'Ash EAB'!$B$13+'Ash EAB'!$B$15)</f>
        <v/>
      </c>
      <c r="O23" s="54" t="str">
        <f aca="false">IF(N(D23)=0,"",D23*'Ash EAB'!$B$13*'Ash EAB'!$B$14+'Ash EAB'!$B$15)</f>
        <v/>
      </c>
      <c r="P23" s="47" t="str">
        <f aca="false">IF(N(D23)=0,"",IF(M23&lt;N23,"Treat","Replace"))</f>
        <v/>
      </c>
      <c r="Q23" s="43"/>
      <c r="R23" s="37"/>
      <c r="S23" s="37" t="str">
        <f aca="false">IF(R23="","",EDATE(R23,ROUND('Ash EAB'!$B$12*12,0)))</f>
        <v/>
      </c>
      <c r="T23" s="47"/>
      <c r="U23" s="12"/>
    </row>
    <row r="24" customFormat="false" ht="15" hidden="false" customHeight="true" outlineLevel="0" collapsed="false">
      <c r="A24" s="43"/>
      <c r="B24" s="81"/>
      <c r="C24" s="12"/>
      <c r="D24" s="42"/>
      <c r="E24" s="85"/>
      <c r="F24" s="47"/>
      <c r="G24" s="47"/>
      <c r="H24" s="47"/>
      <c r="I24" s="47"/>
      <c r="J24" s="12" t="str">
        <f aca="false">IF(N(D24)=0,"",IF(N(E24)&gt;0.5,IF(I24="Y","REMOVE NOW: target at risk","REMOVE NOW"),IF(N(E24)&gt;=0.3,"GRAY ZONE: assess structure",IF(G24="High","TREAT",IF(F24="Y","REMOVE AND REPLACE","PLANT FIRST, REMOVE LATER")))))</f>
        <v/>
      </c>
      <c r="K24" s="12" t="str">
        <f aca="false">IF(N(D24)=0,"",IF(J24="TREAT","Successor if space: ","")&amp;IF(H24="Wet","Quercus bicolor or Malus fusca",IF(H24="Riparian","Natives only: Malus fusca, Salix, Q. garryana on edges",IF(H24="Upland","Quercus garryana or Q. macrocarpa","Set site type"))))</f>
        <v/>
      </c>
      <c r="L24" s="54" t="str">
        <f aca="false">IF(N(D24)=0,"",D24*'Ash EAB'!$B$11)</f>
        <v/>
      </c>
      <c r="M24" s="54" t="str">
        <f aca="false">IF(N(D24)=0,"",L24*ROUNDUP('Ash EAB'!$B$17/'Ash EAB'!$B$12,0))</f>
        <v/>
      </c>
      <c r="N24" s="54" t="str">
        <f aca="false">IF(N(D24)=0,"",D24*'Ash EAB'!$B$13+'Ash EAB'!$B$15)</f>
        <v/>
      </c>
      <c r="O24" s="54" t="str">
        <f aca="false">IF(N(D24)=0,"",D24*'Ash EAB'!$B$13*'Ash EAB'!$B$14+'Ash EAB'!$B$15)</f>
        <v/>
      </c>
      <c r="P24" s="47" t="str">
        <f aca="false">IF(N(D24)=0,"",IF(M24&lt;N24,"Treat","Replace"))</f>
        <v/>
      </c>
      <c r="Q24" s="43"/>
      <c r="R24" s="37"/>
      <c r="S24" s="37" t="str">
        <f aca="false">IF(R24="","",EDATE(R24,ROUND('Ash EAB'!$B$12*12,0)))</f>
        <v/>
      </c>
      <c r="T24" s="47"/>
      <c r="U24" s="12"/>
    </row>
    <row r="25" customFormat="false" ht="15" hidden="false" customHeight="true" outlineLevel="0" collapsed="false">
      <c r="A25" s="43"/>
      <c r="B25" s="81"/>
      <c r="C25" s="12"/>
      <c r="D25" s="42"/>
      <c r="E25" s="85"/>
      <c r="F25" s="47"/>
      <c r="G25" s="47"/>
      <c r="H25" s="47"/>
      <c r="I25" s="47"/>
      <c r="J25" s="12" t="str">
        <f aca="false">IF(N(D25)=0,"",IF(N(E25)&gt;0.5,IF(I25="Y","REMOVE NOW: target at risk","REMOVE NOW"),IF(N(E25)&gt;=0.3,"GRAY ZONE: assess structure",IF(G25="High","TREAT",IF(F25="Y","REMOVE AND REPLACE","PLANT FIRST, REMOVE LATER")))))</f>
        <v/>
      </c>
      <c r="K25" s="12" t="str">
        <f aca="false">IF(N(D25)=0,"",IF(J25="TREAT","Successor if space: ","")&amp;IF(H25="Wet","Quercus bicolor or Malus fusca",IF(H25="Riparian","Natives only: Malus fusca, Salix, Q. garryana on edges",IF(H25="Upland","Quercus garryana or Q. macrocarpa","Set site type"))))</f>
        <v/>
      </c>
      <c r="L25" s="54" t="str">
        <f aca="false">IF(N(D25)=0,"",D25*'Ash EAB'!$B$11)</f>
        <v/>
      </c>
      <c r="M25" s="54" t="str">
        <f aca="false">IF(N(D25)=0,"",L25*ROUNDUP('Ash EAB'!$B$17/'Ash EAB'!$B$12,0))</f>
        <v/>
      </c>
      <c r="N25" s="54" t="str">
        <f aca="false">IF(N(D25)=0,"",D25*'Ash EAB'!$B$13+'Ash EAB'!$B$15)</f>
        <v/>
      </c>
      <c r="O25" s="54" t="str">
        <f aca="false">IF(N(D25)=0,"",D25*'Ash EAB'!$B$13*'Ash EAB'!$B$14+'Ash EAB'!$B$15)</f>
        <v/>
      </c>
      <c r="P25" s="47" t="str">
        <f aca="false">IF(N(D25)=0,"",IF(M25&lt;N25,"Treat","Replace"))</f>
        <v/>
      </c>
      <c r="Q25" s="43"/>
      <c r="R25" s="37"/>
      <c r="S25" s="37" t="str">
        <f aca="false">IF(R25="","",EDATE(R25,ROUND('Ash EAB'!$B$12*12,0)))</f>
        <v/>
      </c>
      <c r="T25" s="47"/>
      <c r="U25" s="12"/>
    </row>
    <row r="26" customFormat="false" ht="15" hidden="false" customHeight="true" outlineLevel="0" collapsed="false">
      <c r="A26" s="43"/>
      <c r="B26" s="81"/>
      <c r="C26" s="12"/>
      <c r="D26" s="42"/>
      <c r="E26" s="85"/>
      <c r="F26" s="47"/>
      <c r="G26" s="47"/>
      <c r="H26" s="47"/>
      <c r="I26" s="47"/>
      <c r="J26" s="12" t="str">
        <f aca="false">IF(N(D26)=0,"",IF(N(E26)&gt;0.5,IF(I26="Y","REMOVE NOW: target at risk","REMOVE NOW"),IF(N(E26)&gt;=0.3,"GRAY ZONE: assess structure",IF(G26="High","TREAT",IF(F26="Y","REMOVE AND REPLACE","PLANT FIRST, REMOVE LATER")))))</f>
        <v/>
      </c>
      <c r="K26" s="12" t="str">
        <f aca="false">IF(N(D26)=0,"",IF(J26="TREAT","Successor if space: ","")&amp;IF(H26="Wet","Quercus bicolor or Malus fusca",IF(H26="Riparian","Natives only: Malus fusca, Salix, Q. garryana on edges",IF(H26="Upland","Quercus garryana or Q. macrocarpa","Set site type"))))</f>
        <v/>
      </c>
      <c r="L26" s="54" t="str">
        <f aca="false">IF(N(D26)=0,"",D26*'Ash EAB'!$B$11)</f>
        <v/>
      </c>
      <c r="M26" s="54" t="str">
        <f aca="false">IF(N(D26)=0,"",L26*ROUNDUP('Ash EAB'!$B$17/'Ash EAB'!$B$12,0))</f>
        <v/>
      </c>
      <c r="N26" s="54" t="str">
        <f aca="false">IF(N(D26)=0,"",D26*'Ash EAB'!$B$13+'Ash EAB'!$B$15)</f>
        <v/>
      </c>
      <c r="O26" s="54" t="str">
        <f aca="false">IF(N(D26)=0,"",D26*'Ash EAB'!$B$13*'Ash EAB'!$B$14+'Ash EAB'!$B$15)</f>
        <v/>
      </c>
      <c r="P26" s="47" t="str">
        <f aca="false">IF(N(D26)=0,"",IF(M26&lt;N26,"Treat","Replace"))</f>
        <v/>
      </c>
      <c r="Q26" s="43"/>
      <c r="R26" s="37"/>
      <c r="S26" s="37" t="str">
        <f aca="false">IF(R26="","",EDATE(R26,ROUND('Ash EAB'!$B$12*12,0)))</f>
        <v/>
      </c>
      <c r="T26" s="47"/>
      <c r="U26" s="12"/>
    </row>
    <row r="27" customFormat="false" ht="15" hidden="false" customHeight="true" outlineLevel="0" collapsed="false">
      <c r="A27" s="43"/>
      <c r="B27" s="81"/>
      <c r="C27" s="12"/>
      <c r="D27" s="42"/>
      <c r="E27" s="85"/>
      <c r="F27" s="47"/>
      <c r="G27" s="47"/>
      <c r="H27" s="47"/>
      <c r="I27" s="47"/>
      <c r="J27" s="12" t="str">
        <f aca="false">IF(N(D27)=0,"",IF(N(E27)&gt;0.5,IF(I27="Y","REMOVE NOW: target at risk","REMOVE NOW"),IF(N(E27)&gt;=0.3,"GRAY ZONE: assess structure",IF(G27="High","TREAT",IF(F27="Y","REMOVE AND REPLACE","PLANT FIRST, REMOVE LATER")))))</f>
        <v/>
      </c>
      <c r="K27" s="12" t="str">
        <f aca="false">IF(N(D27)=0,"",IF(J27="TREAT","Successor if space: ","")&amp;IF(H27="Wet","Quercus bicolor or Malus fusca",IF(H27="Riparian","Natives only: Malus fusca, Salix, Q. garryana on edges",IF(H27="Upland","Quercus garryana or Q. macrocarpa","Set site type"))))</f>
        <v/>
      </c>
      <c r="L27" s="54" t="str">
        <f aca="false">IF(N(D27)=0,"",D27*'Ash EAB'!$B$11)</f>
        <v/>
      </c>
      <c r="M27" s="54" t="str">
        <f aca="false">IF(N(D27)=0,"",L27*ROUNDUP('Ash EAB'!$B$17/'Ash EAB'!$B$12,0))</f>
        <v/>
      </c>
      <c r="N27" s="54" t="str">
        <f aca="false">IF(N(D27)=0,"",D27*'Ash EAB'!$B$13+'Ash EAB'!$B$15)</f>
        <v/>
      </c>
      <c r="O27" s="54" t="str">
        <f aca="false">IF(N(D27)=0,"",D27*'Ash EAB'!$B$13*'Ash EAB'!$B$14+'Ash EAB'!$B$15)</f>
        <v/>
      </c>
      <c r="P27" s="47" t="str">
        <f aca="false">IF(N(D27)=0,"",IF(M27&lt;N27,"Treat","Replace"))</f>
        <v/>
      </c>
      <c r="Q27" s="43"/>
      <c r="R27" s="37"/>
      <c r="S27" s="37" t="str">
        <f aca="false">IF(R27="","",EDATE(R27,ROUND('Ash EAB'!$B$12*12,0)))</f>
        <v/>
      </c>
      <c r="T27" s="47"/>
      <c r="U27" s="12"/>
    </row>
    <row r="28" customFormat="false" ht="15" hidden="false" customHeight="true" outlineLevel="0" collapsed="false">
      <c r="A28" s="43"/>
      <c r="B28" s="81"/>
      <c r="C28" s="12"/>
      <c r="D28" s="42"/>
      <c r="E28" s="85"/>
      <c r="F28" s="47"/>
      <c r="G28" s="47"/>
      <c r="H28" s="47"/>
      <c r="I28" s="47"/>
      <c r="J28" s="12" t="str">
        <f aca="false">IF(N(D28)=0,"",IF(N(E28)&gt;0.5,IF(I28="Y","REMOVE NOW: target at risk","REMOVE NOW"),IF(N(E28)&gt;=0.3,"GRAY ZONE: assess structure",IF(G28="High","TREAT",IF(F28="Y","REMOVE AND REPLACE","PLANT FIRST, REMOVE LATER")))))</f>
        <v/>
      </c>
      <c r="K28" s="12" t="str">
        <f aca="false">IF(N(D28)=0,"",IF(J28="TREAT","Successor if space: ","")&amp;IF(H28="Wet","Quercus bicolor or Malus fusca",IF(H28="Riparian","Natives only: Malus fusca, Salix, Q. garryana on edges",IF(H28="Upland","Quercus garryana or Q. macrocarpa","Set site type"))))</f>
        <v/>
      </c>
      <c r="L28" s="54" t="str">
        <f aca="false">IF(N(D28)=0,"",D28*'Ash EAB'!$B$11)</f>
        <v/>
      </c>
      <c r="M28" s="54" t="str">
        <f aca="false">IF(N(D28)=0,"",L28*ROUNDUP('Ash EAB'!$B$17/'Ash EAB'!$B$12,0))</f>
        <v/>
      </c>
      <c r="N28" s="54" t="str">
        <f aca="false">IF(N(D28)=0,"",D28*'Ash EAB'!$B$13+'Ash EAB'!$B$15)</f>
        <v/>
      </c>
      <c r="O28" s="54" t="str">
        <f aca="false">IF(N(D28)=0,"",D28*'Ash EAB'!$B$13*'Ash EAB'!$B$14+'Ash EAB'!$B$15)</f>
        <v/>
      </c>
      <c r="P28" s="47" t="str">
        <f aca="false">IF(N(D28)=0,"",IF(M28&lt;N28,"Treat","Replace"))</f>
        <v/>
      </c>
      <c r="Q28" s="43"/>
      <c r="R28" s="37"/>
      <c r="S28" s="37" t="str">
        <f aca="false">IF(R28="","",EDATE(R28,ROUND('Ash EAB'!$B$12*12,0)))</f>
        <v/>
      </c>
      <c r="T28" s="47"/>
      <c r="U28" s="12"/>
    </row>
    <row r="29" customFormat="false" ht="15" hidden="false" customHeight="true" outlineLevel="0" collapsed="false">
      <c r="A29" s="43"/>
      <c r="B29" s="81"/>
      <c r="C29" s="12"/>
      <c r="D29" s="42"/>
      <c r="E29" s="85"/>
      <c r="F29" s="47"/>
      <c r="G29" s="47"/>
      <c r="H29" s="47"/>
      <c r="I29" s="47"/>
      <c r="J29" s="12" t="str">
        <f aca="false">IF(N(D29)=0,"",IF(N(E29)&gt;0.5,IF(I29="Y","REMOVE NOW: target at risk","REMOVE NOW"),IF(N(E29)&gt;=0.3,"GRAY ZONE: assess structure",IF(G29="High","TREAT",IF(F29="Y","REMOVE AND REPLACE","PLANT FIRST, REMOVE LATER")))))</f>
        <v/>
      </c>
      <c r="K29" s="12" t="str">
        <f aca="false">IF(N(D29)=0,"",IF(J29="TREAT","Successor if space: ","")&amp;IF(H29="Wet","Quercus bicolor or Malus fusca",IF(H29="Riparian","Natives only: Malus fusca, Salix, Q. garryana on edges",IF(H29="Upland","Quercus garryana or Q. macrocarpa","Set site type"))))</f>
        <v/>
      </c>
      <c r="L29" s="54" t="str">
        <f aca="false">IF(N(D29)=0,"",D29*'Ash EAB'!$B$11)</f>
        <v/>
      </c>
      <c r="M29" s="54" t="str">
        <f aca="false">IF(N(D29)=0,"",L29*ROUNDUP('Ash EAB'!$B$17/'Ash EAB'!$B$12,0))</f>
        <v/>
      </c>
      <c r="N29" s="54" t="str">
        <f aca="false">IF(N(D29)=0,"",D29*'Ash EAB'!$B$13+'Ash EAB'!$B$15)</f>
        <v/>
      </c>
      <c r="O29" s="54" t="str">
        <f aca="false">IF(N(D29)=0,"",D29*'Ash EAB'!$B$13*'Ash EAB'!$B$14+'Ash EAB'!$B$15)</f>
        <v/>
      </c>
      <c r="P29" s="47" t="str">
        <f aca="false">IF(N(D29)=0,"",IF(M29&lt;N29,"Treat","Replace"))</f>
        <v/>
      </c>
      <c r="Q29" s="43"/>
      <c r="R29" s="37"/>
      <c r="S29" s="37" t="str">
        <f aca="false">IF(R29="","",EDATE(R29,ROUND('Ash EAB'!$B$12*12,0)))</f>
        <v/>
      </c>
      <c r="T29" s="47"/>
      <c r="U29" s="12"/>
    </row>
    <row r="30" customFormat="false" ht="15" hidden="false" customHeight="true" outlineLevel="0" collapsed="false">
      <c r="A30" s="43"/>
      <c r="B30" s="81"/>
      <c r="C30" s="12"/>
      <c r="D30" s="42"/>
      <c r="E30" s="85"/>
      <c r="F30" s="47"/>
      <c r="G30" s="47"/>
      <c r="H30" s="47"/>
      <c r="I30" s="47"/>
      <c r="J30" s="12" t="str">
        <f aca="false">IF(N(D30)=0,"",IF(N(E30)&gt;0.5,IF(I30="Y","REMOVE NOW: target at risk","REMOVE NOW"),IF(N(E30)&gt;=0.3,"GRAY ZONE: assess structure",IF(G30="High","TREAT",IF(F30="Y","REMOVE AND REPLACE","PLANT FIRST, REMOVE LATER")))))</f>
        <v/>
      </c>
      <c r="K30" s="12" t="str">
        <f aca="false">IF(N(D30)=0,"",IF(J30="TREAT","Successor if space: ","")&amp;IF(H30="Wet","Quercus bicolor or Malus fusca",IF(H30="Riparian","Natives only: Malus fusca, Salix, Q. garryana on edges",IF(H30="Upland","Quercus garryana or Q. macrocarpa","Set site type"))))</f>
        <v/>
      </c>
      <c r="L30" s="54" t="str">
        <f aca="false">IF(N(D30)=0,"",D30*'Ash EAB'!$B$11)</f>
        <v/>
      </c>
      <c r="M30" s="54" t="str">
        <f aca="false">IF(N(D30)=0,"",L30*ROUNDUP('Ash EAB'!$B$17/'Ash EAB'!$B$12,0))</f>
        <v/>
      </c>
      <c r="N30" s="54" t="str">
        <f aca="false">IF(N(D30)=0,"",D30*'Ash EAB'!$B$13+'Ash EAB'!$B$15)</f>
        <v/>
      </c>
      <c r="O30" s="54" t="str">
        <f aca="false">IF(N(D30)=0,"",D30*'Ash EAB'!$B$13*'Ash EAB'!$B$14+'Ash EAB'!$B$15)</f>
        <v/>
      </c>
      <c r="P30" s="47" t="str">
        <f aca="false">IF(N(D30)=0,"",IF(M30&lt;N30,"Treat","Replace"))</f>
        <v/>
      </c>
      <c r="Q30" s="43"/>
      <c r="R30" s="37"/>
      <c r="S30" s="37" t="str">
        <f aca="false">IF(R30="","",EDATE(R30,ROUND('Ash EAB'!$B$12*12,0)))</f>
        <v/>
      </c>
      <c r="T30" s="47"/>
      <c r="U30" s="12"/>
    </row>
    <row r="31" customFormat="false" ht="15" hidden="false" customHeight="true" outlineLevel="0" collapsed="false">
      <c r="A31" s="43"/>
      <c r="B31" s="81"/>
      <c r="C31" s="12"/>
      <c r="D31" s="42"/>
      <c r="E31" s="85"/>
      <c r="F31" s="47"/>
      <c r="G31" s="47"/>
      <c r="H31" s="47"/>
      <c r="I31" s="47"/>
      <c r="J31" s="12" t="str">
        <f aca="false">IF(N(D31)=0,"",IF(N(E31)&gt;0.5,IF(I31="Y","REMOVE NOW: target at risk","REMOVE NOW"),IF(N(E31)&gt;=0.3,"GRAY ZONE: assess structure",IF(G31="High","TREAT",IF(F31="Y","REMOVE AND REPLACE","PLANT FIRST, REMOVE LATER")))))</f>
        <v/>
      </c>
      <c r="K31" s="12" t="str">
        <f aca="false">IF(N(D31)=0,"",IF(J31="TREAT","Successor if space: ","")&amp;IF(H31="Wet","Quercus bicolor or Malus fusca",IF(H31="Riparian","Natives only: Malus fusca, Salix, Q. garryana on edges",IF(H31="Upland","Quercus garryana or Q. macrocarpa","Set site type"))))</f>
        <v/>
      </c>
      <c r="L31" s="54" t="str">
        <f aca="false">IF(N(D31)=0,"",D31*'Ash EAB'!$B$11)</f>
        <v/>
      </c>
      <c r="M31" s="54" t="str">
        <f aca="false">IF(N(D31)=0,"",L31*ROUNDUP('Ash EAB'!$B$17/'Ash EAB'!$B$12,0))</f>
        <v/>
      </c>
      <c r="N31" s="54" t="str">
        <f aca="false">IF(N(D31)=0,"",D31*'Ash EAB'!$B$13+'Ash EAB'!$B$15)</f>
        <v/>
      </c>
      <c r="O31" s="54" t="str">
        <f aca="false">IF(N(D31)=0,"",D31*'Ash EAB'!$B$13*'Ash EAB'!$B$14+'Ash EAB'!$B$15)</f>
        <v/>
      </c>
      <c r="P31" s="47" t="str">
        <f aca="false">IF(N(D31)=0,"",IF(M31&lt;N31,"Treat","Replace"))</f>
        <v/>
      </c>
      <c r="Q31" s="43"/>
      <c r="R31" s="37"/>
      <c r="S31" s="37" t="str">
        <f aca="false">IF(R31="","",EDATE(R31,ROUND('Ash EAB'!$B$12*12,0)))</f>
        <v/>
      </c>
      <c r="T31" s="47"/>
      <c r="U31" s="12"/>
    </row>
    <row r="32" customFormat="false" ht="15" hidden="false" customHeight="true" outlineLevel="0" collapsed="false">
      <c r="A32" s="43"/>
      <c r="B32" s="81"/>
      <c r="C32" s="12"/>
      <c r="D32" s="42"/>
      <c r="E32" s="85"/>
      <c r="F32" s="47"/>
      <c r="G32" s="47"/>
      <c r="H32" s="47"/>
      <c r="I32" s="47"/>
      <c r="J32" s="12" t="str">
        <f aca="false">IF(N(D32)=0,"",IF(N(E32)&gt;0.5,IF(I32="Y","REMOVE NOW: target at risk","REMOVE NOW"),IF(N(E32)&gt;=0.3,"GRAY ZONE: assess structure",IF(G32="High","TREAT",IF(F32="Y","REMOVE AND REPLACE","PLANT FIRST, REMOVE LATER")))))</f>
        <v/>
      </c>
      <c r="K32" s="12" t="str">
        <f aca="false">IF(N(D32)=0,"",IF(J32="TREAT","Successor if space: ","")&amp;IF(H32="Wet","Quercus bicolor or Malus fusca",IF(H32="Riparian","Natives only: Malus fusca, Salix, Q. garryana on edges",IF(H32="Upland","Quercus garryana or Q. macrocarpa","Set site type"))))</f>
        <v/>
      </c>
      <c r="L32" s="54" t="str">
        <f aca="false">IF(N(D32)=0,"",D32*'Ash EAB'!$B$11)</f>
        <v/>
      </c>
      <c r="M32" s="54" t="str">
        <f aca="false">IF(N(D32)=0,"",L32*ROUNDUP('Ash EAB'!$B$17/'Ash EAB'!$B$12,0))</f>
        <v/>
      </c>
      <c r="N32" s="54" t="str">
        <f aca="false">IF(N(D32)=0,"",D32*'Ash EAB'!$B$13+'Ash EAB'!$B$15)</f>
        <v/>
      </c>
      <c r="O32" s="54" t="str">
        <f aca="false">IF(N(D32)=0,"",D32*'Ash EAB'!$B$13*'Ash EAB'!$B$14+'Ash EAB'!$B$15)</f>
        <v/>
      </c>
      <c r="P32" s="47" t="str">
        <f aca="false">IF(N(D32)=0,"",IF(M32&lt;N32,"Treat","Replace"))</f>
        <v/>
      </c>
      <c r="Q32" s="43"/>
      <c r="R32" s="37"/>
      <c r="S32" s="37" t="str">
        <f aca="false">IF(R32="","",EDATE(R32,ROUND('Ash EAB'!$B$12*12,0)))</f>
        <v/>
      </c>
      <c r="T32" s="47"/>
      <c r="U32" s="12"/>
    </row>
    <row r="33" customFormat="false" ht="15" hidden="false" customHeight="true" outlineLevel="0" collapsed="false">
      <c r="A33" s="43"/>
      <c r="B33" s="81"/>
      <c r="C33" s="12"/>
      <c r="D33" s="42"/>
      <c r="E33" s="85"/>
      <c r="F33" s="47"/>
      <c r="G33" s="47"/>
      <c r="H33" s="47"/>
      <c r="I33" s="47"/>
      <c r="J33" s="12" t="str">
        <f aca="false">IF(N(D33)=0,"",IF(N(E33)&gt;0.5,IF(I33="Y","REMOVE NOW: target at risk","REMOVE NOW"),IF(N(E33)&gt;=0.3,"GRAY ZONE: assess structure",IF(G33="High","TREAT",IF(F33="Y","REMOVE AND REPLACE","PLANT FIRST, REMOVE LATER")))))</f>
        <v/>
      </c>
      <c r="K33" s="12" t="str">
        <f aca="false">IF(N(D33)=0,"",IF(J33="TREAT","Successor if space: ","")&amp;IF(H33="Wet","Quercus bicolor or Malus fusca",IF(H33="Riparian","Natives only: Malus fusca, Salix, Q. garryana on edges",IF(H33="Upland","Quercus garryana or Q. macrocarpa","Set site type"))))</f>
        <v/>
      </c>
      <c r="L33" s="54" t="str">
        <f aca="false">IF(N(D33)=0,"",D33*'Ash EAB'!$B$11)</f>
        <v/>
      </c>
      <c r="M33" s="54" t="str">
        <f aca="false">IF(N(D33)=0,"",L33*ROUNDUP('Ash EAB'!$B$17/'Ash EAB'!$B$12,0))</f>
        <v/>
      </c>
      <c r="N33" s="54" t="str">
        <f aca="false">IF(N(D33)=0,"",D33*'Ash EAB'!$B$13+'Ash EAB'!$B$15)</f>
        <v/>
      </c>
      <c r="O33" s="54" t="str">
        <f aca="false">IF(N(D33)=0,"",D33*'Ash EAB'!$B$13*'Ash EAB'!$B$14+'Ash EAB'!$B$15)</f>
        <v/>
      </c>
      <c r="P33" s="47" t="str">
        <f aca="false">IF(N(D33)=0,"",IF(M33&lt;N33,"Treat","Replace"))</f>
        <v/>
      </c>
      <c r="Q33" s="43"/>
      <c r="R33" s="37"/>
      <c r="S33" s="37" t="str">
        <f aca="false">IF(R33="","",EDATE(R33,ROUND('Ash EAB'!$B$12*12,0)))</f>
        <v/>
      </c>
      <c r="T33" s="47"/>
      <c r="U33" s="12"/>
    </row>
    <row r="34" customFormat="false" ht="15" hidden="false" customHeight="true" outlineLevel="0" collapsed="false">
      <c r="A34" s="43"/>
      <c r="B34" s="81"/>
      <c r="C34" s="12"/>
      <c r="D34" s="42"/>
      <c r="E34" s="85"/>
      <c r="F34" s="47"/>
      <c r="G34" s="47"/>
      <c r="H34" s="47"/>
      <c r="I34" s="47"/>
      <c r="J34" s="12" t="str">
        <f aca="false">IF(N(D34)=0,"",IF(N(E34)&gt;0.5,IF(I34="Y","REMOVE NOW: target at risk","REMOVE NOW"),IF(N(E34)&gt;=0.3,"GRAY ZONE: assess structure",IF(G34="High","TREAT",IF(F34="Y","REMOVE AND REPLACE","PLANT FIRST, REMOVE LATER")))))</f>
        <v/>
      </c>
      <c r="K34" s="12" t="str">
        <f aca="false">IF(N(D34)=0,"",IF(J34="TREAT","Successor if space: ","")&amp;IF(H34="Wet","Quercus bicolor or Malus fusca",IF(H34="Riparian","Natives only: Malus fusca, Salix, Q. garryana on edges",IF(H34="Upland","Quercus garryana or Q. macrocarpa","Set site type"))))</f>
        <v/>
      </c>
      <c r="L34" s="54" t="str">
        <f aca="false">IF(N(D34)=0,"",D34*'Ash EAB'!$B$11)</f>
        <v/>
      </c>
      <c r="M34" s="54" t="str">
        <f aca="false">IF(N(D34)=0,"",L34*ROUNDUP('Ash EAB'!$B$17/'Ash EAB'!$B$12,0))</f>
        <v/>
      </c>
      <c r="N34" s="54" t="str">
        <f aca="false">IF(N(D34)=0,"",D34*'Ash EAB'!$B$13+'Ash EAB'!$B$15)</f>
        <v/>
      </c>
      <c r="O34" s="54" t="str">
        <f aca="false">IF(N(D34)=0,"",D34*'Ash EAB'!$B$13*'Ash EAB'!$B$14+'Ash EAB'!$B$15)</f>
        <v/>
      </c>
      <c r="P34" s="47" t="str">
        <f aca="false">IF(N(D34)=0,"",IF(M34&lt;N34,"Treat","Replace"))</f>
        <v/>
      </c>
      <c r="Q34" s="43"/>
      <c r="R34" s="37"/>
      <c r="S34" s="37" t="str">
        <f aca="false">IF(R34="","",EDATE(R34,ROUND('Ash EAB'!$B$12*12,0)))</f>
        <v/>
      </c>
      <c r="T34" s="47"/>
      <c r="U34" s="12"/>
    </row>
    <row r="35" customFormat="false" ht="15" hidden="false" customHeight="true" outlineLevel="0" collapsed="false">
      <c r="A35" s="43"/>
      <c r="B35" s="81"/>
      <c r="C35" s="12"/>
      <c r="D35" s="42"/>
      <c r="E35" s="85"/>
      <c r="F35" s="47"/>
      <c r="G35" s="47"/>
      <c r="H35" s="47"/>
      <c r="I35" s="47"/>
      <c r="J35" s="12" t="str">
        <f aca="false">IF(N(D35)=0,"",IF(N(E35)&gt;0.5,IF(I35="Y","REMOVE NOW: target at risk","REMOVE NOW"),IF(N(E35)&gt;=0.3,"GRAY ZONE: assess structure",IF(G35="High","TREAT",IF(F35="Y","REMOVE AND REPLACE","PLANT FIRST, REMOVE LATER")))))</f>
        <v/>
      </c>
      <c r="K35" s="12" t="str">
        <f aca="false">IF(N(D35)=0,"",IF(J35="TREAT","Successor if space: ","")&amp;IF(H35="Wet","Quercus bicolor or Malus fusca",IF(H35="Riparian","Natives only: Malus fusca, Salix, Q. garryana on edges",IF(H35="Upland","Quercus garryana or Q. macrocarpa","Set site type"))))</f>
        <v/>
      </c>
      <c r="L35" s="54" t="str">
        <f aca="false">IF(N(D35)=0,"",D35*'Ash EAB'!$B$11)</f>
        <v/>
      </c>
      <c r="M35" s="54" t="str">
        <f aca="false">IF(N(D35)=0,"",L35*ROUNDUP('Ash EAB'!$B$17/'Ash EAB'!$B$12,0))</f>
        <v/>
      </c>
      <c r="N35" s="54" t="str">
        <f aca="false">IF(N(D35)=0,"",D35*'Ash EAB'!$B$13+'Ash EAB'!$B$15)</f>
        <v/>
      </c>
      <c r="O35" s="54" t="str">
        <f aca="false">IF(N(D35)=0,"",D35*'Ash EAB'!$B$13*'Ash EAB'!$B$14+'Ash EAB'!$B$15)</f>
        <v/>
      </c>
      <c r="P35" s="47" t="str">
        <f aca="false">IF(N(D35)=0,"",IF(M35&lt;N35,"Treat","Replace"))</f>
        <v/>
      </c>
      <c r="Q35" s="43"/>
      <c r="R35" s="37"/>
      <c r="S35" s="37" t="str">
        <f aca="false">IF(R35="","",EDATE(R35,ROUND('Ash EAB'!$B$12*12,0)))</f>
        <v/>
      </c>
      <c r="T35" s="47"/>
      <c r="U35" s="12"/>
    </row>
    <row r="36" customFormat="false" ht="15" hidden="false" customHeight="true" outlineLevel="0" collapsed="false">
      <c r="A36" s="43"/>
      <c r="B36" s="81"/>
      <c r="C36" s="12"/>
      <c r="D36" s="42"/>
      <c r="E36" s="85"/>
      <c r="F36" s="47"/>
      <c r="G36" s="47"/>
      <c r="H36" s="47"/>
      <c r="I36" s="47"/>
      <c r="J36" s="12" t="str">
        <f aca="false">IF(N(D36)=0,"",IF(N(E36)&gt;0.5,IF(I36="Y","REMOVE NOW: target at risk","REMOVE NOW"),IF(N(E36)&gt;=0.3,"GRAY ZONE: assess structure",IF(G36="High","TREAT",IF(F36="Y","REMOVE AND REPLACE","PLANT FIRST, REMOVE LATER")))))</f>
        <v/>
      </c>
      <c r="K36" s="12" t="str">
        <f aca="false">IF(N(D36)=0,"",IF(J36="TREAT","Successor if space: ","")&amp;IF(H36="Wet","Quercus bicolor or Malus fusca",IF(H36="Riparian","Natives only: Malus fusca, Salix, Q. garryana on edges",IF(H36="Upland","Quercus garryana or Q. macrocarpa","Set site type"))))</f>
        <v/>
      </c>
      <c r="L36" s="54" t="str">
        <f aca="false">IF(N(D36)=0,"",D36*'Ash EAB'!$B$11)</f>
        <v/>
      </c>
      <c r="M36" s="54" t="str">
        <f aca="false">IF(N(D36)=0,"",L36*ROUNDUP('Ash EAB'!$B$17/'Ash EAB'!$B$12,0))</f>
        <v/>
      </c>
      <c r="N36" s="54" t="str">
        <f aca="false">IF(N(D36)=0,"",D36*'Ash EAB'!$B$13+'Ash EAB'!$B$15)</f>
        <v/>
      </c>
      <c r="O36" s="54" t="str">
        <f aca="false">IF(N(D36)=0,"",D36*'Ash EAB'!$B$13*'Ash EAB'!$B$14+'Ash EAB'!$B$15)</f>
        <v/>
      </c>
      <c r="P36" s="47" t="str">
        <f aca="false">IF(N(D36)=0,"",IF(M36&lt;N36,"Treat","Replace"))</f>
        <v/>
      </c>
      <c r="Q36" s="43"/>
      <c r="R36" s="37"/>
      <c r="S36" s="37" t="str">
        <f aca="false">IF(R36="","",EDATE(R36,ROUND('Ash EAB'!$B$12*12,0)))</f>
        <v/>
      </c>
      <c r="T36" s="47"/>
      <c r="U36" s="12"/>
    </row>
    <row r="37" customFormat="false" ht="15" hidden="false" customHeight="true" outlineLevel="0" collapsed="false">
      <c r="A37" s="43"/>
      <c r="B37" s="81"/>
      <c r="C37" s="12"/>
      <c r="D37" s="42"/>
      <c r="E37" s="85"/>
      <c r="F37" s="47"/>
      <c r="G37" s="47"/>
      <c r="H37" s="47"/>
      <c r="I37" s="47"/>
      <c r="J37" s="12" t="str">
        <f aca="false">IF(N(D37)=0,"",IF(N(E37)&gt;0.5,IF(I37="Y","REMOVE NOW: target at risk","REMOVE NOW"),IF(N(E37)&gt;=0.3,"GRAY ZONE: assess structure",IF(G37="High","TREAT",IF(F37="Y","REMOVE AND REPLACE","PLANT FIRST, REMOVE LATER")))))</f>
        <v/>
      </c>
      <c r="K37" s="12" t="str">
        <f aca="false">IF(N(D37)=0,"",IF(J37="TREAT","Successor if space: ","")&amp;IF(H37="Wet","Quercus bicolor or Malus fusca",IF(H37="Riparian","Natives only: Malus fusca, Salix, Q. garryana on edges",IF(H37="Upland","Quercus garryana or Q. macrocarpa","Set site type"))))</f>
        <v/>
      </c>
      <c r="L37" s="54" t="str">
        <f aca="false">IF(N(D37)=0,"",D37*'Ash EAB'!$B$11)</f>
        <v/>
      </c>
      <c r="M37" s="54" t="str">
        <f aca="false">IF(N(D37)=0,"",L37*ROUNDUP('Ash EAB'!$B$17/'Ash EAB'!$B$12,0))</f>
        <v/>
      </c>
      <c r="N37" s="54" t="str">
        <f aca="false">IF(N(D37)=0,"",D37*'Ash EAB'!$B$13+'Ash EAB'!$B$15)</f>
        <v/>
      </c>
      <c r="O37" s="54" t="str">
        <f aca="false">IF(N(D37)=0,"",D37*'Ash EAB'!$B$13*'Ash EAB'!$B$14+'Ash EAB'!$B$15)</f>
        <v/>
      </c>
      <c r="P37" s="47" t="str">
        <f aca="false">IF(N(D37)=0,"",IF(M37&lt;N37,"Treat","Replace"))</f>
        <v/>
      </c>
      <c r="Q37" s="43"/>
      <c r="R37" s="37"/>
      <c r="S37" s="37" t="str">
        <f aca="false">IF(R37="","",EDATE(R37,ROUND('Ash EAB'!$B$12*12,0)))</f>
        <v/>
      </c>
      <c r="T37" s="47"/>
      <c r="U37" s="12"/>
    </row>
    <row r="38" customFormat="false" ht="15" hidden="false" customHeight="true" outlineLevel="0" collapsed="false">
      <c r="A38" s="43"/>
      <c r="B38" s="81"/>
      <c r="C38" s="12"/>
      <c r="D38" s="42"/>
      <c r="E38" s="85"/>
      <c r="F38" s="47"/>
      <c r="G38" s="47"/>
      <c r="H38" s="47"/>
      <c r="I38" s="47"/>
      <c r="J38" s="12" t="str">
        <f aca="false">IF(N(D38)=0,"",IF(N(E38)&gt;0.5,IF(I38="Y","REMOVE NOW: target at risk","REMOVE NOW"),IF(N(E38)&gt;=0.3,"GRAY ZONE: assess structure",IF(G38="High","TREAT",IF(F38="Y","REMOVE AND REPLACE","PLANT FIRST, REMOVE LATER")))))</f>
        <v/>
      </c>
      <c r="K38" s="12" t="str">
        <f aca="false">IF(N(D38)=0,"",IF(J38="TREAT","Successor if space: ","")&amp;IF(H38="Wet","Quercus bicolor or Malus fusca",IF(H38="Riparian","Natives only: Malus fusca, Salix, Q. garryana on edges",IF(H38="Upland","Quercus garryana or Q. macrocarpa","Set site type"))))</f>
        <v/>
      </c>
      <c r="L38" s="54" t="str">
        <f aca="false">IF(N(D38)=0,"",D38*'Ash EAB'!$B$11)</f>
        <v/>
      </c>
      <c r="M38" s="54" t="str">
        <f aca="false">IF(N(D38)=0,"",L38*ROUNDUP('Ash EAB'!$B$17/'Ash EAB'!$B$12,0))</f>
        <v/>
      </c>
      <c r="N38" s="54" t="str">
        <f aca="false">IF(N(D38)=0,"",D38*'Ash EAB'!$B$13+'Ash EAB'!$B$15)</f>
        <v/>
      </c>
      <c r="O38" s="54" t="str">
        <f aca="false">IF(N(D38)=0,"",D38*'Ash EAB'!$B$13*'Ash EAB'!$B$14+'Ash EAB'!$B$15)</f>
        <v/>
      </c>
      <c r="P38" s="47" t="str">
        <f aca="false">IF(N(D38)=0,"",IF(M38&lt;N38,"Treat","Replace"))</f>
        <v/>
      </c>
      <c r="Q38" s="43"/>
      <c r="R38" s="37"/>
      <c r="S38" s="37" t="str">
        <f aca="false">IF(R38="","",EDATE(R38,ROUND('Ash EAB'!$B$12*12,0)))</f>
        <v/>
      </c>
      <c r="T38" s="47"/>
      <c r="U38" s="12"/>
    </row>
    <row r="39" customFormat="false" ht="15" hidden="false" customHeight="true" outlineLevel="0" collapsed="false">
      <c r="A39" s="43"/>
      <c r="B39" s="81"/>
      <c r="C39" s="12"/>
      <c r="D39" s="42"/>
      <c r="E39" s="85"/>
      <c r="F39" s="47"/>
      <c r="G39" s="47"/>
      <c r="H39" s="47"/>
      <c r="I39" s="47"/>
      <c r="J39" s="12" t="str">
        <f aca="false">IF(N(D39)=0,"",IF(N(E39)&gt;0.5,IF(I39="Y","REMOVE NOW: target at risk","REMOVE NOW"),IF(N(E39)&gt;=0.3,"GRAY ZONE: assess structure",IF(G39="High","TREAT",IF(F39="Y","REMOVE AND REPLACE","PLANT FIRST, REMOVE LATER")))))</f>
        <v/>
      </c>
      <c r="K39" s="12" t="str">
        <f aca="false">IF(N(D39)=0,"",IF(J39="TREAT","Successor if space: ","")&amp;IF(H39="Wet","Quercus bicolor or Malus fusca",IF(H39="Riparian","Natives only: Malus fusca, Salix, Q. garryana on edges",IF(H39="Upland","Quercus garryana or Q. macrocarpa","Set site type"))))</f>
        <v/>
      </c>
      <c r="L39" s="54" t="str">
        <f aca="false">IF(N(D39)=0,"",D39*'Ash EAB'!$B$11)</f>
        <v/>
      </c>
      <c r="M39" s="54" t="str">
        <f aca="false">IF(N(D39)=0,"",L39*ROUNDUP('Ash EAB'!$B$17/'Ash EAB'!$B$12,0))</f>
        <v/>
      </c>
      <c r="N39" s="54" t="str">
        <f aca="false">IF(N(D39)=0,"",D39*'Ash EAB'!$B$13+'Ash EAB'!$B$15)</f>
        <v/>
      </c>
      <c r="O39" s="54" t="str">
        <f aca="false">IF(N(D39)=0,"",D39*'Ash EAB'!$B$13*'Ash EAB'!$B$14+'Ash EAB'!$B$15)</f>
        <v/>
      </c>
      <c r="P39" s="47" t="str">
        <f aca="false">IF(N(D39)=0,"",IF(M39&lt;N39,"Treat","Replace"))</f>
        <v/>
      </c>
      <c r="Q39" s="43"/>
      <c r="R39" s="37"/>
      <c r="S39" s="37" t="str">
        <f aca="false">IF(R39="","",EDATE(R39,ROUND('Ash EAB'!$B$12*12,0)))</f>
        <v/>
      </c>
      <c r="T39" s="47"/>
      <c r="U39" s="12"/>
    </row>
    <row r="40" customFormat="false" ht="15" hidden="false" customHeight="true" outlineLevel="0" collapsed="false">
      <c r="A40" s="43"/>
      <c r="B40" s="81"/>
      <c r="C40" s="12"/>
      <c r="D40" s="42"/>
      <c r="E40" s="85"/>
      <c r="F40" s="47"/>
      <c r="G40" s="47"/>
      <c r="H40" s="47"/>
      <c r="I40" s="47"/>
      <c r="J40" s="12" t="str">
        <f aca="false">IF(N(D40)=0,"",IF(N(E40)&gt;0.5,IF(I40="Y","REMOVE NOW: target at risk","REMOVE NOW"),IF(N(E40)&gt;=0.3,"GRAY ZONE: assess structure",IF(G40="High","TREAT",IF(F40="Y","REMOVE AND REPLACE","PLANT FIRST, REMOVE LATER")))))</f>
        <v/>
      </c>
      <c r="K40" s="12" t="str">
        <f aca="false">IF(N(D40)=0,"",IF(J40="TREAT","Successor if space: ","")&amp;IF(H40="Wet","Quercus bicolor or Malus fusca",IF(H40="Riparian","Natives only: Malus fusca, Salix, Q. garryana on edges",IF(H40="Upland","Quercus garryana or Q. macrocarpa","Set site type"))))</f>
        <v/>
      </c>
      <c r="L40" s="54" t="str">
        <f aca="false">IF(N(D40)=0,"",D40*'Ash EAB'!$B$11)</f>
        <v/>
      </c>
      <c r="M40" s="54" t="str">
        <f aca="false">IF(N(D40)=0,"",L40*ROUNDUP('Ash EAB'!$B$17/'Ash EAB'!$B$12,0))</f>
        <v/>
      </c>
      <c r="N40" s="54" t="str">
        <f aca="false">IF(N(D40)=0,"",D40*'Ash EAB'!$B$13+'Ash EAB'!$B$15)</f>
        <v/>
      </c>
      <c r="O40" s="54" t="str">
        <f aca="false">IF(N(D40)=0,"",D40*'Ash EAB'!$B$13*'Ash EAB'!$B$14+'Ash EAB'!$B$15)</f>
        <v/>
      </c>
      <c r="P40" s="47" t="str">
        <f aca="false">IF(N(D40)=0,"",IF(M40&lt;N40,"Treat","Replace"))</f>
        <v/>
      </c>
      <c r="Q40" s="43"/>
      <c r="R40" s="37"/>
      <c r="S40" s="37" t="str">
        <f aca="false">IF(R40="","",EDATE(R40,ROUND('Ash EAB'!$B$12*12,0)))</f>
        <v/>
      </c>
      <c r="T40" s="47"/>
      <c r="U40" s="12"/>
    </row>
    <row r="41" customFormat="false" ht="15" hidden="false" customHeight="true" outlineLevel="0" collapsed="false">
      <c r="A41" s="43"/>
      <c r="B41" s="81"/>
      <c r="C41" s="12"/>
      <c r="D41" s="42"/>
      <c r="E41" s="85"/>
      <c r="F41" s="47"/>
      <c r="G41" s="47"/>
      <c r="H41" s="47"/>
      <c r="I41" s="47"/>
      <c r="J41" s="12" t="str">
        <f aca="false">IF(N(D41)=0,"",IF(N(E41)&gt;0.5,IF(I41="Y","REMOVE NOW: target at risk","REMOVE NOW"),IF(N(E41)&gt;=0.3,"GRAY ZONE: assess structure",IF(G41="High","TREAT",IF(F41="Y","REMOVE AND REPLACE","PLANT FIRST, REMOVE LATER")))))</f>
        <v/>
      </c>
      <c r="K41" s="12" t="str">
        <f aca="false">IF(N(D41)=0,"",IF(J41="TREAT","Successor if space: ","")&amp;IF(H41="Wet","Quercus bicolor or Malus fusca",IF(H41="Riparian","Natives only: Malus fusca, Salix, Q. garryana on edges",IF(H41="Upland","Quercus garryana or Q. macrocarpa","Set site type"))))</f>
        <v/>
      </c>
      <c r="L41" s="54" t="str">
        <f aca="false">IF(N(D41)=0,"",D41*'Ash EAB'!$B$11)</f>
        <v/>
      </c>
      <c r="M41" s="54" t="str">
        <f aca="false">IF(N(D41)=0,"",L41*ROUNDUP('Ash EAB'!$B$17/'Ash EAB'!$B$12,0))</f>
        <v/>
      </c>
      <c r="N41" s="54" t="str">
        <f aca="false">IF(N(D41)=0,"",D41*'Ash EAB'!$B$13+'Ash EAB'!$B$15)</f>
        <v/>
      </c>
      <c r="O41" s="54" t="str">
        <f aca="false">IF(N(D41)=0,"",D41*'Ash EAB'!$B$13*'Ash EAB'!$B$14+'Ash EAB'!$B$15)</f>
        <v/>
      </c>
      <c r="P41" s="47" t="str">
        <f aca="false">IF(N(D41)=0,"",IF(M41&lt;N41,"Treat","Replace"))</f>
        <v/>
      </c>
      <c r="Q41" s="43"/>
      <c r="R41" s="37"/>
      <c r="S41" s="37" t="str">
        <f aca="false">IF(R41="","",EDATE(R41,ROUND('Ash EAB'!$B$12*12,0)))</f>
        <v/>
      </c>
      <c r="T41" s="47"/>
      <c r="U41" s="12"/>
    </row>
    <row r="42" customFormat="false" ht="15" hidden="false" customHeight="true" outlineLevel="0" collapsed="false">
      <c r="A42" s="43"/>
      <c r="B42" s="81"/>
      <c r="C42" s="12"/>
      <c r="D42" s="42"/>
      <c r="E42" s="85"/>
      <c r="F42" s="47"/>
      <c r="G42" s="47"/>
      <c r="H42" s="47"/>
      <c r="I42" s="47"/>
      <c r="J42" s="12" t="str">
        <f aca="false">IF(N(D42)=0,"",IF(N(E42)&gt;0.5,IF(I42="Y","REMOVE NOW: target at risk","REMOVE NOW"),IF(N(E42)&gt;=0.3,"GRAY ZONE: assess structure",IF(G42="High","TREAT",IF(F42="Y","REMOVE AND REPLACE","PLANT FIRST, REMOVE LATER")))))</f>
        <v/>
      </c>
      <c r="K42" s="12" t="str">
        <f aca="false">IF(N(D42)=0,"",IF(J42="TREAT","Successor if space: ","")&amp;IF(H42="Wet","Quercus bicolor or Malus fusca",IF(H42="Riparian","Natives only: Malus fusca, Salix, Q. garryana on edges",IF(H42="Upland","Quercus garryana or Q. macrocarpa","Set site type"))))</f>
        <v/>
      </c>
      <c r="L42" s="54" t="str">
        <f aca="false">IF(N(D42)=0,"",D42*'Ash EAB'!$B$11)</f>
        <v/>
      </c>
      <c r="M42" s="54" t="str">
        <f aca="false">IF(N(D42)=0,"",L42*ROUNDUP('Ash EAB'!$B$17/'Ash EAB'!$B$12,0))</f>
        <v/>
      </c>
      <c r="N42" s="54" t="str">
        <f aca="false">IF(N(D42)=0,"",D42*'Ash EAB'!$B$13+'Ash EAB'!$B$15)</f>
        <v/>
      </c>
      <c r="O42" s="54" t="str">
        <f aca="false">IF(N(D42)=0,"",D42*'Ash EAB'!$B$13*'Ash EAB'!$B$14+'Ash EAB'!$B$15)</f>
        <v/>
      </c>
      <c r="P42" s="47" t="str">
        <f aca="false">IF(N(D42)=0,"",IF(M42&lt;N42,"Treat","Replace"))</f>
        <v/>
      </c>
      <c r="Q42" s="43"/>
      <c r="R42" s="37"/>
      <c r="S42" s="37" t="str">
        <f aca="false">IF(R42="","",EDATE(R42,ROUND('Ash EAB'!$B$12*12,0)))</f>
        <v/>
      </c>
      <c r="T42" s="47"/>
      <c r="U42" s="12"/>
    </row>
    <row r="43" customFormat="false" ht="15" hidden="false" customHeight="true" outlineLevel="0" collapsed="false">
      <c r="A43" s="43"/>
      <c r="B43" s="81"/>
      <c r="C43" s="12"/>
      <c r="D43" s="42"/>
      <c r="E43" s="85"/>
      <c r="F43" s="47"/>
      <c r="G43" s="47"/>
      <c r="H43" s="47"/>
      <c r="I43" s="47"/>
      <c r="J43" s="12" t="str">
        <f aca="false">IF(N(D43)=0,"",IF(N(E43)&gt;0.5,IF(I43="Y","REMOVE NOW: target at risk","REMOVE NOW"),IF(N(E43)&gt;=0.3,"GRAY ZONE: assess structure",IF(G43="High","TREAT",IF(F43="Y","REMOVE AND REPLACE","PLANT FIRST, REMOVE LATER")))))</f>
        <v/>
      </c>
      <c r="K43" s="12" t="str">
        <f aca="false">IF(N(D43)=0,"",IF(J43="TREAT","Successor if space: ","")&amp;IF(H43="Wet","Quercus bicolor or Malus fusca",IF(H43="Riparian","Natives only: Malus fusca, Salix, Q. garryana on edges",IF(H43="Upland","Quercus garryana or Q. macrocarpa","Set site type"))))</f>
        <v/>
      </c>
      <c r="L43" s="54" t="str">
        <f aca="false">IF(N(D43)=0,"",D43*'Ash EAB'!$B$11)</f>
        <v/>
      </c>
      <c r="M43" s="54" t="str">
        <f aca="false">IF(N(D43)=0,"",L43*ROUNDUP('Ash EAB'!$B$17/'Ash EAB'!$B$12,0))</f>
        <v/>
      </c>
      <c r="N43" s="54" t="str">
        <f aca="false">IF(N(D43)=0,"",D43*'Ash EAB'!$B$13+'Ash EAB'!$B$15)</f>
        <v/>
      </c>
      <c r="O43" s="54" t="str">
        <f aca="false">IF(N(D43)=0,"",D43*'Ash EAB'!$B$13*'Ash EAB'!$B$14+'Ash EAB'!$B$15)</f>
        <v/>
      </c>
      <c r="P43" s="47" t="str">
        <f aca="false">IF(N(D43)=0,"",IF(M43&lt;N43,"Treat","Replace"))</f>
        <v/>
      </c>
      <c r="Q43" s="43"/>
      <c r="R43" s="37"/>
      <c r="S43" s="37" t="str">
        <f aca="false">IF(R43="","",EDATE(R43,ROUND('Ash EAB'!$B$12*12,0)))</f>
        <v/>
      </c>
      <c r="T43" s="47"/>
      <c r="U43" s="12"/>
    </row>
    <row r="44" customFormat="false" ht="15" hidden="false" customHeight="true" outlineLevel="0" collapsed="false">
      <c r="A44" s="43"/>
      <c r="B44" s="81"/>
      <c r="C44" s="12"/>
      <c r="D44" s="42"/>
      <c r="E44" s="85"/>
      <c r="F44" s="47"/>
      <c r="G44" s="47"/>
      <c r="H44" s="47"/>
      <c r="I44" s="47"/>
      <c r="J44" s="12" t="str">
        <f aca="false">IF(N(D44)=0,"",IF(N(E44)&gt;0.5,IF(I44="Y","REMOVE NOW: target at risk","REMOVE NOW"),IF(N(E44)&gt;=0.3,"GRAY ZONE: assess structure",IF(G44="High","TREAT",IF(F44="Y","REMOVE AND REPLACE","PLANT FIRST, REMOVE LATER")))))</f>
        <v/>
      </c>
      <c r="K44" s="12" t="str">
        <f aca="false">IF(N(D44)=0,"",IF(J44="TREAT","Successor if space: ","")&amp;IF(H44="Wet","Quercus bicolor or Malus fusca",IF(H44="Riparian","Natives only: Malus fusca, Salix, Q. garryana on edges",IF(H44="Upland","Quercus garryana or Q. macrocarpa","Set site type"))))</f>
        <v/>
      </c>
      <c r="L44" s="54" t="str">
        <f aca="false">IF(N(D44)=0,"",D44*'Ash EAB'!$B$11)</f>
        <v/>
      </c>
      <c r="M44" s="54" t="str">
        <f aca="false">IF(N(D44)=0,"",L44*ROUNDUP('Ash EAB'!$B$17/'Ash EAB'!$B$12,0))</f>
        <v/>
      </c>
      <c r="N44" s="54" t="str">
        <f aca="false">IF(N(D44)=0,"",D44*'Ash EAB'!$B$13+'Ash EAB'!$B$15)</f>
        <v/>
      </c>
      <c r="O44" s="54" t="str">
        <f aca="false">IF(N(D44)=0,"",D44*'Ash EAB'!$B$13*'Ash EAB'!$B$14+'Ash EAB'!$B$15)</f>
        <v/>
      </c>
      <c r="P44" s="47" t="str">
        <f aca="false">IF(N(D44)=0,"",IF(M44&lt;N44,"Treat","Replace"))</f>
        <v/>
      </c>
      <c r="Q44" s="43"/>
      <c r="R44" s="37"/>
      <c r="S44" s="37" t="str">
        <f aca="false">IF(R44="","",EDATE(R44,ROUND('Ash EAB'!$B$12*12,0)))</f>
        <v/>
      </c>
      <c r="T44" s="47"/>
      <c r="U44" s="12"/>
    </row>
    <row r="45" customFormat="false" ht="15" hidden="false" customHeight="true" outlineLevel="0" collapsed="false">
      <c r="A45" s="43"/>
      <c r="B45" s="81"/>
      <c r="C45" s="12"/>
      <c r="D45" s="42"/>
      <c r="E45" s="85"/>
      <c r="F45" s="47"/>
      <c r="G45" s="47"/>
      <c r="H45" s="47"/>
      <c r="I45" s="47"/>
      <c r="J45" s="12" t="str">
        <f aca="false">IF(N(D45)=0,"",IF(N(E45)&gt;0.5,IF(I45="Y","REMOVE NOW: target at risk","REMOVE NOW"),IF(N(E45)&gt;=0.3,"GRAY ZONE: assess structure",IF(G45="High","TREAT",IF(F45="Y","REMOVE AND REPLACE","PLANT FIRST, REMOVE LATER")))))</f>
        <v/>
      </c>
      <c r="K45" s="12" t="str">
        <f aca="false">IF(N(D45)=0,"",IF(J45="TREAT","Successor if space: ","")&amp;IF(H45="Wet","Quercus bicolor or Malus fusca",IF(H45="Riparian","Natives only: Malus fusca, Salix, Q. garryana on edges",IF(H45="Upland","Quercus garryana or Q. macrocarpa","Set site type"))))</f>
        <v/>
      </c>
      <c r="L45" s="54" t="str">
        <f aca="false">IF(N(D45)=0,"",D45*'Ash EAB'!$B$11)</f>
        <v/>
      </c>
      <c r="M45" s="54" t="str">
        <f aca="false">IF(N(D45)=0,"",L45*ROUNDUP('Ash EAB'!$B$17/'Ash EAB'!$B$12,0))</f>
        <v/>
      </c>
      <c r="N45" s="54" t="str">
        <f aca="false">IF(N(D45)=0,"",D45*'Ash EAB'!$B$13+'Ash EAB'!$B$15)</f>
        <v/>
      </c>
      <c r="O45" s="54" t="str">
        <f aca="false">IF(N(D45)=0,"",D45*'Ash EAB'!$B$13*'Ash EAB'!$B$14+'Ash EAB'!$B$15)</f>
        <v/>
      </c>
      <c r="P45" s="47" t="str">
        <f aca="false">IF(N(D45)=0,"",IF(M45&lt;N45,"Treat","Replace"))</f>
        <v/>
      </c>
      <c r="Q45" s="43"/>
      <c r="R45" s="37"/>
      <c r="S45" s="37" t="str">
        <f aca="false">IF(R45="","",EDATE(R45,ROUND('Ash EAB'!$B$12*12,0)))</f>
        <v/>
      </c>
      <c r="T45" s="47"/>
      <c r="U45" s="12"/>
    </row>
    <row r="46" customFormat="false" ht="15" hidden="false" customHeight="true" outlineLevel="0" collapsed="false">
      <c r="A46" s="43"/>
      <c r="B46" s="81"/>
      <c r="C46" s="12"/>
      <c r="D46" s="42"/>
      <c r="E46" s="85"/>
      <c r="F46" s="47"/>
      <c r="G46" s="47"/>
      <c r="H46" s="47"/>
      <c r="I46" s="47"/>
      <c r="J46" s="12" t="str">
        <f aca="false">IF(N(D46)=0,"",IF(N(E46)&gt;0.5,IF(I46="Y","REMOVE NOW: target at risk","REMOVE NOW"),IF(N(E46)&gt;=0.3,"GRAY ZONE: assess structure",IF(G46="High","TREAT",IF(F46="Y","REMOVE AND REPLACE","PLANT FIRST, REMOVE LATER")))))</f>
        <v/>
      </c>
      <c r="K46" s="12" t="str">
        <f aca="false">IF(N(D46)=0,"",IF(J46="TREAT","Successor if space: ","")&amp;IF(H46="Wet","Quercus bicolor or Malus fusca",IF(H46="Riparian","Natives only: Malus fusca, Salix, Q. garryana on edges",IF(H46="Upland","Quercus garryana or Q. macrocarpa","Set site type"))))</f>
        <v/>
      </c>
      <c r="L46" s="54" t="str">
        <f aca="false">IF(N(D46)=0,"",D46*'Ash EAB'!$B$11)</f>
        <v/>
      </c>
      <c r="M46" s="54" t="str">
        <f aca="false">IF(N(D46)=0,"",L46*ROUNDUP('Ash EAB'!$B$17/'Ash EAB'!$B$12,0))</f>
        <v/>
      </c>
      <c r="N46" s="54" t="str">
        <f aca="false">IF(N(D46)=0,"",D46*'Ash EAB'!$B$13+'Ash EAB'!$B$15)</f>
        <v/>
      </c>
      <c r="O46" s="54" t="str">
        <f aca="false">IF(N(D46)=0,"",D46*'Ash EAB'!$B$13*'Ash EAB'!$B$14+'Ash EAB'!$B$15)</f>
        <v/>
      </c>
      <c r="P46" s="47" t="str">
        <f aca="false">IF(N(D46)=0,"",IF(M46&lt;N46,"Treat","Replace"))</f>
        <v/>
      </c>
      <c r="Q46" s="43"/>
      <c r="R46" s="37"/>
      <c r="S46" s="37" t="str">
        <f aca="false">IF(R46="","",EDATE(R46,ROUND('Ash EAB'!$B$12*12,0)))</f>
        <v/>
      </c>
      <c r="T46" s="47"/>
      <c r="U46" s="12"/>
    </row>
    <row r="47" customFormat="false" ht="15" hidden="false" customHeight="true" outlineLevel="0" collapsed="false">
      <c r="A47" s="43"/>
      <c r="B47" s="81"/>
      <c r="C47" s="12"/>
      <c r="D47" s="42"/>
      <c r="E47" s="85"/>
      <c r="F47" s="47"/>
      <c r="G47" s="47"/>
      <c r="H47" s="47"/>
      <c r="I47" s="47"/>
      <c r="J47" s="12" t="str">
        <f aca="false">IF(N(D47)=0,"",IF(N(E47)&gt;0.5,IF(I47="Y","REMOVE NOW: target at risk","REMOVE NOW"),IF(N(E47)&gt;=0.3,"GRAY ZONE: assess structure",IF(G47="High","TREAT",IF(F47="Y","REMOVE AND REPLACE","PLANT FIRST, REMOVE LATER")))))</f>
        <v/>
      </c>
      <c r="K47" s="12" t="str">
        <f aca="false">IF(N(D47)=0,"",IF(J47="TREAT","Successor if space: ","")&amp;IF(H47="Wet","Quercus bicolor or Malus fusca",IF(H47="Riparian","Natives only: Malus fusca, Salix, Q. garryana on edges",IF(H47="Upland","Quercus garryana or Q. macrocarpa","Set site type"))))</f>
        <v/>
      </c>
      <c r="L47" s="54" t="str">
        <f aca="false">IF(N(D47)=0,"",D47*'Ash EAB'!$B$11)</f>
        <v/>
      </c>
      <c r="M47" s="54" t="str">
        <f aca="false">IF(N(D47)=0,"",L47*ROUNDUP('Ash EAB'!$B$17/'Ash EAB'!$B$12,0))</f>
        <v/>
      </c>
      <c r="N47" s="54" t="str">
        <f aca="false">IF(N(D47)=0,"",D47*'Ash EAB'!$B$13+'Ash EAB'!$B$15)</f>
        <v/>
      </c>
      <c r="O47" s="54" t="str">
        <f aca="false">IF(N(D47)=0,"",D47*'Ash EAB'!$B$13*'Ash EAB'!$B$14+'Ash EAB'!$B$15)</f>
        <v/>
      </c>
      <c r="P47" s="47" t="str">
        <f aca="false">IF(N(D47)=0,"",IF(M47&lt;N47,"Treat","Replace"))</f>
        <v/>
      </c>
      <c r="Q47" s="43"/>
      <c r="R47" s="37"/>
      <c r="S47" s="37" t="str">
        <f aca="false">IF(R47="","",EDATE(R47,ROUND('Ash EAB'!$B$12*12,0)))</f>
        <v/>
      </c>
      <c r="T47" s="47"/>
      <c r="U47" s="12"/>
    </row>
    <row r="48" customFormat="false" ht="15" hidden="false" customHeight="true" outlineLevel="0" collapsed="false">
      <c r="A48" s="43"/>
      <c r="B48" s="81"/>
      <c r="C48" s="12"/>
      <c r="D48" s="42"/>
      <c r="E48" s="85"/>
      <c r="F48" s="47"/>
      <c r="G48" s="47"/>
      <c r="H48" s="47"/>
      <c r="I48" s="47"/>
      <c r="J48" s="12" t="str">
        <f aca="false">IF(N(D48)=0,"",IF(N(E48)&gt;0.5,IF(I48="Y","REMOVE NOW: target at risk","REMOVE NOW"),IF(N(E48)&gt;=0.3,"GRAY ZONE: assess structure",IF(G48="High","TREAT",IF(F48="Y","REMOVE AND REPLACE","PLANT FIRST, REMOVE LATER")))))</f>
        <v/>
      </c>
      <c r="K48" s="12" t="str">
        <f aca="false">IF(N(D48)=0,"",IF(J48="TREAT","Successor if space: ","")&amp;IF(H48="Wet","Quercus bicolor or Malus fusca",IF(H48="Riparian","Natives only: Malus fusca, Salix, Q. garryana on edges",IF(H48="Upland","Quercus garryana or Q. macrocarpa","Set site type"))))</f>
        <v/>
      </c>
      <c r="L48" s="54" t="str">
        <f aca="false">IF(N(D48)=0,"",D48*'Ash EAB'!$B$11)</f>
        <v/>
      </c>
      <c r="M48" s="54" t="str">
        <f aca="false">IF(N(D48)=0,"",L48*ROUNDUP('Ash EAB'!$B$17/'Ash EAB'!$B$12,0))</f>
        <v/>
      </c>
      <c r="N48" s="54" t="str">
        <f aca="false">IF(N(D48)=0,"",D48*'Ash EAB'!$B$13+'Ash EAB'!$B$15)</f>
        <v/>
      </c>
      <c r="O48" s="54" t="str">
        <f aca="false">IF(N(D48)=0,"",D48*'Ash EAB'!$B$13*'Ash EAB'!$B$14+'Ash EAB'!$B$15)</f>
        <v/>
      </c>
      <c r="P48" s="47" t="str">
        <f aca="false">IF(N(D48)=0,"",IF(M48&lt;N48,"Treat","Replace"))</f>
        <v/>
      </c>
      <c r="Q48" s="43"/>
      <c r="R48" s="37"/>
      <c r="S48" s="37" t="str">
        <f aca="false">IF(R48="","",EDATE(R48,ROUND('Ash EAB'!$B$12*12,0)))</f>
        <v/>
      </c>
      <c r="T48" s="47"/>
      <c r="U48" s="12"/>
    </row>
    <row r="49" customFormat="false" ht="15" hidden="false" customHeight="true" outlineLevel="0" collapsed="false">
      <c r="A49" s="43"/>
      <c r="B49" s="81"/>
      <c r="C49" s="12"/>
      <c r="D49" s="42"/>
      <c r="E49" s="85"/>
      <c r="F49" s="47"/>
      <c r="G49" s="47"/>
      <c r="H49" s="47"/>
      <c r="I49" s="47"/>
      <c r="J49" s="12" t="str">
        <f aca="false">IF(N(D49)=0,"",IF(N(E49)&gt;0.5,IF(I49="Y","REMOVE NOW: target at risk","REMOVE NOW"),IF(N(E49)&gt;=0.3,"GRAY ZONE: assess structure",IF(G49="High","TREAT",IF(F49="Y","REMOVE AND REPLACE","PLANT FIRST, REMOVE LATER")))))</f>
        <v/>
      </c>
      <c r="K49" s="12" t="str">
        <f aca="false">IF(N(D49)=0,"",IF(J49="TREAT","Successor if space: ","")&amp;IF(H49="Wet","Quercus bicolor or Malus fusca",IF(H49="Riparian","Natives only: Malus fusca, Salix, Q. garryana on edges",IF(H49="Upland","Quercus garryana or Q. macrocarpa","Set site type"))))</f>
        <v/>
      </c>
      <c r="L49" s="54" t="str">
        <f aca="false">IF(N(D49)=0,"",D49*'Ash EAB'!$B$11)</f>
        <v/>
      </c>
      <c r="M49" s="54" t="str">
        <f aca="false">IF(N(D49)=0,"",L49*ROUNDUP('Ash EAB'!$B$17/'Ash EAB'!$B$12,0))</f>
        <v/>
      </c>
      <c r="N49" s="54" t="str">
        <f aca="false">IF(N(D49)=0,"",D49*'Ash EAB'!$B$13+'Ash EAB'!$B$15)</f>
        <v/>
      </c>
      <c r="O49" s="54" t="str">
        <f aca="false">IF(N(D49)=0,"",D49*'Ash EAB'!$B$13*'Ash EAB'!$B$14+'Ash EAB'!$B$15)</f>
        <v/>
      </c>
      <c r="P49" s="47" t="str">
        <f aca="false">IF(N(D49)=0,"",IF(M49&lt;N49,"Treat","Replace"))</f>
        <v/>
      </c>
      <c r="Q49" s="43"/>
      <c r="R49" s="37"/>
      <c r="S49" s="37" t="str">
        <f aca="false">IF(R49="","",EDATE(R49,ROUND('Ash EAB'!$B$12*12,0)))</f>
        <v/>
      </c>
      <c r="T49" s="47"/>
      <c r="U49" s="12"/>
    </row>
    <row r="50" customFormat="false" ht="15" hidden="false" customHeight="true" outlineLevel="0" collapsed="false">
      <c r="A50" s="43"/>
      <c r="B50" s="81"/>
      <c r="C50" s="12"/>
      <c r="D50" s="42"/>
      <c r="E50" s="85"/>
      <c r="F50" s="47"/>
      <c r="G50" s="47"/>
      <c r="H50" s="47"/>
      <c r="I50" s="47"/>
      <c r="J50" s="12" t="str">
        <f aca="false">IF(N(D50)=0,"",IF(N(E50)&gt;0.5,IF(I50="Y","REMOVE NOW: target at risk","REMOVE NOW"),IF(N(E50)&gt;=0.3,"GRAY ZONE: assess structure",IF(G50="High","TREAT",IF(F50="Y","REMOVE AND REPLACE","PLANT FIRST, REMOVE LATER")))))</f>
        <v/>
      </c>
      <c r="K50" s="12" t="str">
        <f aca="false">IF(N(D50)=0,"",IF(J50="TREAT","Successor if space: ","")&amp;IF(H50="Wet","Quercus bicolor or Malus fusca",IF(H50="Riparian","Natives only: Malus fusca, Salix, Q. garryana on edges",IF(H50="Upland","Quercus garryana or Q. macrocarpa","Set site type"))))</f>
        <v/>
      </c>
      <c r="L50" s="54" t="str">
        <f aca="false">IF(N(D50)=0,"",D50*'Ash EAB'!$B$11)</f>
        <v/>
      </c>
      <c r="M50" s="54" t="str">
        <f aca="false">IF(N(D50)=0,"",L50*ROUNDUP('Ash EAB'!$B$17/'Ash EAB'!$B$12,0))</f>
        <v/>
      </c>
      <c r="N50" s="54" t="str">
        <f aca="false">IF(N(D50)=0,"",D50*'Ash EAB'!$B$13+'Ash EAB'!$B$15)</f>
        <v/>
      </c>
      <c r="O50" s="54" t="str">
        <f aca="false">IF(N(D50)=0,"",D50*'Ash EAB'!$B$13*'Ash EAB'!$B$14+'Ash EAB'!$B$15)</f>
        <v/>
      </c>
      <c r="P50" s="47" t="str">
        <f aca="false">IF(N(D50)=0,"",IF(M50&lt;N50,"Treat","Replace"))</f>
        <v/>
      </c>
      <c r="Q50" s="43"/>
      <c r="R50" s="37"/>
      <c r="S50" s="37" t="str">
        <f aca="false">IF(R50="","",EDATE(R50,ROUND('Ash EAB'!$B$12*12,0)))</f>
        <v/>
      </c>
      <c r="T50" s="47"/>
      <c r="U50" s="12"/>
    </row>
    <row r="51" customFormat="false" ht="15" hidden="false" customHeight="true" outlineLevel="0" collapsed="false">
      <c r="A51" s="43"/>
      <c r="B51" s="81"/>
      <c r="C51" s="12"/>
      <c r="D51" s="42"/>
      <c r="E51" s="85"/>
      <c r="F51" s="47"/>
      <c r="G51" s="47"/>
      <c r="H51" s="47"/>
      <c r="I51" s="47"/>
      <c r="J51" s="12" t="str">
        <f aca="false">IF(N(D51)=0,"",IF(N(E51)&gt;0.5,IF(I51="Y","REMOVE NOW: target at risk","REMOVE NOW"),IF(N(E51)&gt;=0.3,"GRAY ZONE: assess structure",IF(G51="High","TREAT",IF(F51="Y","REMOVE AND REPLACE","PLANT FIRST, REMOVE LATER")))))</f>
        <v/>
      </c>
      <c r="K51" s="12" t="str">
        <f aca="false">IF(N(D51)=0,"",IF(J51="TREAT","Successor if space: ","")&amp;IF(H51="Wet","Quercus bicolor or Malus fusca",IF(H51="Riparian","Natives only: Malus fusca, Salix, Q. garryana on edges",IF(H51="Upland","Quercus garryana or Q. macrocarpa","Set site type"))))</f>
        <v/>
      </c>
      <c r="L51" s="54" t="str">
        <f aca="false">IF(N(D51)=0,"",D51*'Ash EAB'!$B$11)</f>
        <v/>
      </c>
      <c r="M51" s="54" t="str">
        <f aca="false">IF(N(D51)=0,"",L51*ROUNDUP('Ash EAB'!$B$17/'Ash EAB'!$B$12,0))</f>
        <v/>
      </c>
      <c r="N51" s="54" t="str">
        <f aca="false">IF(N(D51)=0,"",D51*'Ash EAB'!$B$13+'Ash EAB'!$B$15)</f>
        <v/>
      </c>
      <c r="O51" s="54" t="str">
        <f aca="false">IF(N(D51)=0,"",D51*'Ash EAB'!$B$13*'Ash EAB'!$B$14+'Ash EAB'!$B$15)</f>
        <v/>
      </c>
      <c r="P51" s="47" t="str">
        <f aca="false">IF(N(D51)=0,"",IF(M51&lt;N51,"Treat","Replace"))</f>
        <v/>
      </c>
      <c r="Q51" s="43"/>
      <c r="R51" s="37"/>
      <c r="S51" s="37" t="str">
        <f aca="false">IF(R51="","",EDATE(R51,ROUND('Ash EAB'!$B$12*12,0)))</f>
        <v/>
      </c>
      <c r="T51" s="47"/>
      <c r="U51" s="12"/>
    </row>
    <row r="52" customFormat="false" ht="15" hidden="false" customHeight="true" outlineLevel="0" collapsed="false">
      <c r="A52" s="43"/>
      <c r="B52" s="81"/>
      <c r="C52" s="12"/>
      <c r="D52" s="42"/>
      <c r="E52" s="85"/>
      <c r="F52" s="47"/>
      <c r="G52" s="47"/>
      <c r="H52" s="47"/>
      <c r="I52" s="47"/>
      <c r="J52" s="12" t="str">
        <f aca="false">IF(N(D52)=0,"",IF(N(E52)&gt;0.5,IF(I52="Y","REMOVE NOW: target at risk","REMOVE NOW"),IF(N(E52)&gt;=0.3,"GRAY ZONE: assess structure",IF(G52="High","TREAT",IF(F52="Y","REMOVE AND REPLACE","PLANT FIRST, REMOVE LATER")))))</f>
        <v/>
      </c>
      <c r="K52" s="12" t="str">
        <f aca="false">IF(N(D52)=0,"",IF(J52="TREAT","Successor if space: ","")&amp;IF(H52="Wet","Quercus bicolor or Malus fusca",IF(H52="Riparian","Natives only: Malus fusca, Salix, Q. garryana on edges",IF(H52="Upland","Quercus garryana or Q. macrocarpa","Set site type"))))</f>
        <v/>
      </c>
      <c r="L52" s="54" t="str">
        <f aca="false">IF(N(D52)=0,"",D52*'Ash EAB'!$B$11)</f>
        <v/>
      </c>
      <c r="M52" s="54" t="str">
        <f aca="false">IF(N(D52)=0,"",L52*ROUNDUP('Ash EAB'!$B$17/'Ash EAB'!$B$12,0))</f>
        <v/>
      </c>
      <c r="N52" s="54" t="str">
        <f aca="false">IF(N(D52)=0,"",D52*'Ash EAB'!$B$13+'Ash EAB'!$B$15)</f>
        <v/>
      </c>
      <c r="O52" s="54" t="str">
        <f aca="false">IF(N(D52)=0,"",D52*'Ash EAB'!$B$13*'Ash EAB'!$B$14+'Ash EAB'!$B$15)</f>
        <v/>
      </c>
      <c r="P52" s="47" t="str">
        <f aca="false">IF(N(D52)=0,"",IF(M52&lt;N52,"Treat","Replace"))</f>
        <v/>
      </c>
      <c r="Q52" s="43"/>
      <c r="R52" s="37"/>
      <c r="S52" s="37" t="str">
        <f aca="false">IF(R52="","",EDATE(R52,ROUND('Ash EAB'!$B$12*12,0)))</f>
        <v/>
      </c>
      <c r="T52" s="47"/>
      <c r="U52" s="12"/>
    </row>
    <row r="53" customFormat="false" ht="15" hidden="false" customHeight="true" outlineLevel="0" collapsed="false">
      <c r="A53" s="43"/>
      <c r="B53" s="81"/>
      <c r="C53" s="12"/>
      <c r="D53" s="42"/>
      <c r="E53" s="85"/>
      <c r="F53" s="47"/>
      <c r="G53" s="47"/>
      <c r="H53" s="47"/>
      <c r="I53" s="47"/>
      <c r="J53" s="12" t="str">
        <f aca="false">IF(N(D53)=0,"",IF(N(E53)&gt;0.5,IF(I53="Y","REMOVE NOW: target at risk","REMOVE NOW"),IF(N(E53)&gt;=0.3,"GRAY ZONE: assess structure",IF(G53="High","TREAT",IF(F53="Y","REMOVE AND REPLACE","PLANT FIRST, REMOVE LATER")))))</f>
        <v/>
      </c>
      <c r="K53" s="12" t="str">
        <f aca="false">IF(N(D53)=0,"",IF(J53="TREAT","Successor if space: ","")&amp;IF(H53="Wet","Quercus bicolor or Malus fusca",IF(H53="Riparian","Natives only: Malus fusca, Salix, Q. garryana on edges",IF(H53="Upland","Quercus garryana or Q. macrocarpa","Set site type"))))</f>
        <v/>
      </c>
      <c r="L53" s="54" t="str">
        <f aca="false">IF(N(D53)=0,"",D53*'Ash EAB'!$B$11)</f>
        <v/>
      </c>
      <c r="M53" s="54" t="str">
        <f aca="false">IF(N(D53)=0,"",L53*ROUNDUP('Ash EAB'!$B$17/'Ash EAB'!$B$12,0))</f>
        <v/>
      </c>
      <c r="N53" s="54" t="str">
        <f aca="false">IF(N(D53)=0,"",D53*'Ash EAB'!$B$13+'Ash EAB'!$B$15)</f>
        <v/>
      </c>
      <c r="O53" s="54" t="str">
        <f aca="false">IF(N(D53)=0,"",D53*'Ash EAB'!$B$13*'Ash EAB'!$B$14+'Ash EAB'!$B$15)</f>
        <v/>
      </c>
      <c r="P53" s="47" t="str">
        <f aca="false">IF(N(D53)=0,"",IF(M53&lt;N53,"Treat","Replace"))</f>
        <v/>
      </c>
      <c r="Q53" s="43"/>
      <c r="R53" s="37"/>
      <c r="S53" s="37" t="str">
        <f aca="false">IF(R53="","",EDATE(R53,ROUND('Ash EAB'!$B$12*12,0)))</f>
        <v/>
      </c>
      <c r="T53" s="47"/>
      <c r="U53" s="12"/>
    </row>
    <row r="54" customFormat="false" ht="15" hidden="false" customHeight="true" outlineLevel="0" collapsed="false">
      <c r="A54" s="43"/>
      <c r="B54" s="81"/>
      <c r="C54" s="12"/>
      <c r="D54" s="42"/>
      <c r="E54" s="85"/>
      <c r="F54" s="47"/>
      <c r="G54" s="47"/>
      <c r="H54" s="47"/>
      <c r="I54" s="47"/>
      <c r="J54" s="12" t="str">
        <f aca="false">IF(N(D54)=0,"",IF(N(E54)&gt;0.5,IF(I54="Y","REMOVE NOW: target at risk","REMOVE NOW"),IF(N(E54)&gt;=0.3,"GRAY ZONE: assess structure",IF(G54="High","TREAT",IF(F54="Y","REMOVE AND REPLACE","PLANT FIRST, REMOVE LATER")))))</f>
        <v/>
      </c>
      <c r="K54" s="12" t="str">
        <f aca="false">IF(N(D54)=0,"",IF(J54="TREAT","Successor if space: ","")&amp;IF(H54="Wet","Quercus bicolor or Malus fusca",IF(H54="Riparian","Natives only: Malus fusca, Salix, Q. garryana on edges",IF(H54="Upland","Quercus garryana or Q. macrocarpa","Set site type"))))</f>
        <v/>
      </c>
      <c r="L54" s="54" t="str">
        <f aca="false">IF(N(D54)=0,"",D54*'Ash EAB'!$B$11)</f>
        <v/>
      </c>
      <c r="M54" s="54" t="str">
        <f aca="false">IF(N(D54)=0,"",L54*ROUNDUP('Ash EAB'!$B$17/'Ash EAB'!$B$12,0))</f>
        <v/>
      </c>
      <c r="N54" s="54" t="str">
        <f aca="false">IF(N(D54)=0,"",D54*'Ash EAB'!$B$13+'Ash EAB'!$B$15)</f>
        <v/>
      </c>
      <c r="O54" s="54" t="str">
        <f aca="false">IF(N(D54)=0,"",D54*'Ash EAB'!$B$13*'Ash EAB'!$B$14+'Ash EAB'!$B$15)</f>
        <v/>
      </c>
      <c r="P54" s="47" t="str">
        <f aca="false">IF(N(D54)=0,"",IF(M54&lt;N54,"Treat","Replace"))</f>
        <v/>
      </c>
      <c r="Q54" s="43"/>
      <c r="R54" s="37"/>
      <c r="S54" s="37" t="str">
        <f aca="false">IF(R54="","",EDATE(R54,ROUND('Ash EAB'!$B$12*12,0)))</f>
        <v/>
      </c>
      <c r="T54" s="47"/>
      <c r="U54" s="12"/>
    </row>
    <row r="55" customFormat="false" ht="15" hidden="false" customHeight="true" outlineLevel="0" collapsed="false">
      <c r="A55" s="43"/>
      <c r="B55" s="81"/>
      <c r="C55" s="12"/>
      <c r="D55" s="42"/>
      <c r="E55" s="85"/>
      <c r="F55" s="47"/>
      <c r="G55" s="47"/>
      <c r="H55" s="47"/>
      <c r="I55" s="47"/>
      <c r="J55" s="12" t="str">
        <f aca="false">IF(N(D55)=0,"",IF(N(E55)&gt;0.5,IF(I55="Y","REMOVE NOW: target at risk","REMOVE NOW"),IF(N(E55)&gt;=0.3,"GRAY ZONE: assess structure",IF(G55="High","TREAT",IF(F55="Y","REMOVE AND REPLACE","PLANT FIRST, REMOVE LATER")))))</f>
        <v/>
      </c>
      <c r="K55" s="12" t="str">
        <f aca="false">IF(N(D55)=0,"",IF(J55="TREAT","Successor if space: ","")&amp;IF(H55="Wet","Quercus bicolor or Malus fusca",IF(H55="Riparian","Natives only: Malus fusca, Salix, Q. garryana on edges",IF(H55="Upland","Quercus garryana or Q. macrocarpa","Set site type"))))</f>
        <v/>
      </c>
      <c r="L55" s="54" t="str">
        <f aca="false">IF(N(D55)=0,"",D55*'Ash EAB'!$B$11)</f>
        <v/>
      </c>
      <c r="M55" s="54" t="str">
        <f aca="false">IF(N(D55)=0,"",L55*ROUNDUP('Ash EAB'!$B$17/'Ash EAB'!$B$12,0))</f>
        <v/>
      </c>
      <c r="N55" s="54" t="str">
        <f aca="false">IF(N(D55)=0,"",D55*'Ash EAB'!$B$13+'Ash EAB'!$B$15)</f>
        <v/>
      </c>
      <c r="O55" s="54" t="str">
        <f aca="false">IF(N(D55)=0,"",D55*'Ash EAB'!$B$13*'Ash EAB'!$B$14+'Ash EAB'!$B$15)</f>
        <v/>
      </c>
      <c r="P55" s="47" t="str">
        <f aca="false">IF(N(D55)=0,"",IF(M55&lt;N55,"Treat","Replace"))</f>
        <v/>
      </c>
      <c r="Q55" s="43"/>
      <c r="R55" s="37"/>
      <c r="S55" s="37" t="str">
        <f aca="false">IF(R55="","",EDATE(R55,ROUND('Ash EAB'!$B$12*12,0)))</f>
        <v/>
      </c>
      <c r="T55" s="47"/>
      <c r="U55" s="12"/>
    </row>
    <row r="56" customFormat="false" ht="15" hidden="false" customHeight="true" outlineLevel="0" collapsed="false">
      <c r="A56" s="43"/>
      <c r="B56" s="81"/>
      <c r="C56" s="12"/>
      <c r="D56" s="42"/>
      <c r="E56" s="85"/>
      <c r="F56" s="47"/>
      <c r="G56" s="47"/>
      <c r="H56" s="47"/>
      <c r="I56" s="47"/>
      <c r="J56" s="12" t="str">
        <f aca="false">IF(N(D56)=0,"",IF(N(E56)&gt;0.5,IF(I56="Y","REMOVE NOW: target at risk","REMOVE NOW"),IF(N(E56)&gt;=0.3,"GRAY ZONE: assess structure",IF(G56="High","TREAT",IF(F56="Y","REMOVE AND REPLACE","PLANT FIRST, REMOVE LATER")))))</f>
        <v/>
      </c>
      <c r="K56" s="12" t="str">
        <f aca="false">IF(N(D56)=0,"",IF(J56="TREAT","Successor if space: ","")&amp;IF(H56="Wet","Quercus bicolor or Malus fusca",IF(H56="Riparian","Natives only: Malus fusca, Salix, Q. garryana on edges",IF(H56="Upland","Quercus garryana or Q. macrocarpa","Set site type"))))</f>
        <v/>
      </c>
      <c r="L56" s="54" t="str">
        <f aca="false">IF(N(D56)=0,"",D56*'Ash EAB'!$B$11)</f>
        <v/>
      </c>
      <c r="M56" s="54" t="str">
        <f aca="false">IF(N(D56)=0,"",L56*ROUNDUP('Ash EAB'!$B$17/'Ash EAB'!$B$12,0))</f>
        <v/>
      </c>
      <c r="N56" s="54" t="str">
        <f aca="false">IF(N(D56)=0,"",D56*'Ash EAB'!$B$13+'Ash EAB'!$B$15)</f>
        <v/>
      </c>
      <c r="O56" s="54" t="str">
        <f aca="false">IF(N(D56)=0,"",D56*'Ash EAB'!$B$13*'Ash EAB'!$B$14+'Ash EAB'!$B$15)</f>
        <v/>
      </c>
      <c r="P56" s="47" t="str">
        <f aca="false">IF(N(D56)=0,"",IF(M56&lt;N56,"Treat","Replace"))</f>
        <v/>
      </c>
      <c r="Q56" s="43"/>
      <c r="R56" s="37"/>
      <c r="S56" s="37" t="str">
        <f aca="false">IF(R56="","",EDATE(R56,ROUND('Ash EAB'!$B$12*12,0)))</f>
        <v/>
      </c>
      <c r="T56" s="47"/>
      <c r="U56" s="12"/>
    </row>
    <row r="57" customFormat="false" ht="15" hidden="false" customHeight="true" outlineLevel="0" collapsed="false">
      <c r="A57" s="43"/>
      <c r="B57" s="81"/>
      <c r="C57" s="12"/>
      <c r="D57" s="42"/>
      <c r="E57" s="85"/>
      <c r="F57" s="47"/>
      <c r="G57" s="47"/>
      <c r="H57" s="47"/>
      <c r="I57" s="47"/>
      <c r="J57" s="12" t="str">
        <f aca="false">IF(N(D57)=0,"",IF(N(E57)&gt;0.5,IF(I57="Y","REMOVE NOW: target at risk","REMOVE NOW"),IF(N(E57)&gt;=0.3,"GRAY ZONE: assess structure",IF(G57="High","TREAT",IF(F57="Y","REMOVE AND REPLACE","PLANT FIRST, REMOVE LATER")))))</f>
        <v/>
      </c>
      <c r="K57" s="12" t="str">
        <f aca="false">IF(N(D57)=0,"",IF(J57="TREAT","Successor if space: ","")&amp;IF(H57="Wet","Quercus bicolor or Malus fusca",IF(H57="Riparian","Natives only: Malus fusca, Salix, Q. garryana on edges",IF(H57="Upland","Quercus garryana or Q. macrocarpa","Set site type"))))</f>
        <v/>
      </c>
      <c r="L57" s="54" t="str">
        <f aca="false">IF(N(D57)=0,"",D57*'Ash EAB'!$B$11)</f>
        <v/>
      </c>
      <c r="M57" s="54" t="str">
        <f aca="false">IF(N(D57)=0,"",L57*ROUNDUP('Ash EAB'!$B$17/'Ash EAB'!$B$12,0))</f>
        <v/>
      </c>
      <c r="N57" s="54" t="str">
        <f aca="false">IF(N(D57)=0,"",D57*'Ash EAB'!$B$13+'Ash EAB'!$B$15)</f>
        <v/>
      </c>
      <c r="O57" s="54" t="str">
        <f aca="false">IF(N(D57)=0,"",D57*'Ash EAB'!$B$13*'Ash EAB'!$B$14+'Ash EAB'!$B$15)</f>
        <v/>
      </c>
      <c r="P57" s="47" t="str">
        <f aca="false">IF(N(D57)=0,"",IF(M57&lt;N57,"Treat","Replace"))</f>
        <v/>
      </c>
      <c r="Q57" s="43"/>
      <c r="R57" s="37"/>
      <c r="S57" s="37" t="str">
        <f aca="false">IF(R57="","",EDATE(R57,ROUND('Ash EAB'!$B$12*12,0)))</f>
        <v/>
      </c>
      <c r="T57" s="47"/>
      <c r="U57" s="12"/>
    </row>
    <row r="58" customFormat="false" ht="15" hidden="false" customHeight="true" outlineLevel="0" collapsed="false">
      <c r="A58" s="43"/>
      <c r="B58" s="81"/>
      <c r="C58" s="12"/>
      <c r="D58" s="42"/>
      <c r="E58" s="85"/>
      <c r="F58" s="47"/>
      <c r="G58" s="47"/>
      <c r="H58" s="47"/>
      <c r="I58" s="47"/>
      <c r="J58" s="12" t="str">
        <f aca="false">IF(N(D58)=0,"",IF(N(E58)&gt;0.5,IF(I58="Y","REMOVE NOW: target at risk","REMOVE NOW"),IF(N(E58)&gt;=0.3,"GRAY ZONE: assess structure",IF(G58="High","TREAT",IF(F58="Y","REMOVE AND REPLACE","PLANT FIRST, REMOVE LATER")))))</f>
        <v/>
      </c>
      <c r="K58" s="12" t="str">
        <f aca="false">IF(N(D58)=0,"",IF(J58="TREAT","Successor if space: ","")&amp;IF(H58="Wet","Quercus bicolor or Malus fusca",IF(H58="Riparian","Natives only: Malus fusca, Salix, Q. garryana on edges",IF(H58="Upland","Quercus garryana or Q. macrocarpa","Set site type"))))</f>
        <v/>
      </c>
      <c r="L58" s="54" t="str">
        <f aca="false">IF(N(D58)=0,"",D58*'Ash EAB'!$B$11)</f>
        <v/>
      </c>
      <c r="M58" s="54" t="str">
        <f aca="false">IF(N(D58)=0,"",L58*ROUNDUP('Ash EAB'!$B$17/'Ash EAB'!$B$12,0))</f>
        <v/>
      </c>
      <c r="N58" s="54" t="str">
        <f aca="false">IF(N(D58)=0,"",D58*'Ash EAB'!$B$13+'Ash EAB'!$B$15)</f>
        <v/>
      </c>
      <c r="O58" s="54" t="str">
        <f aca="false">IF(N(D58)=0,"",D58*'Ash EAB'!$B$13*'Ash EAB'!$B$14+'Ash EAB'!$B$15)</f>
        <v/>
      </c>
      <c r="P58" s="47" t="str">
        <f aca="false">IF(N(D58)=0,"",IF(M58&lt;N58,"Treat","Replace"))</f>
        <v/>
      </c>
      <c r="Q58" s="43"/>
      <c r="R58" s="37"/>
      <c r="S58" s="37" t="str">
        <f aca="false">IF(R58="","",EDATE(R58,ROUND('Ash EAB'!$B$12*12,0)))</f>
        <v/>
      </c>
      <c r="T58" s="47"/>
      <c r="U58" s="12"/>
    </row>
    <row r="59" customFormat="false" ht="15" hidden="false" customHeight="true" outlineLevel="0" collapsed="false">
      <c r="A59" s="43"/>
      <c r="B59" s="81"/>
      <c r="C59" s="12"/>
      <c r="D59" s="42"/>
      <c r="E59" s="85"/>
      <c r="F59" s="47"/>
      <c r="G59" s="47"/>
      <c r="H59" s="47"/>
      <c r="I59" s="47"/>
      <c r="J59" s="12" t="str">
        <f aca="false">IF(N(D59)=0,"",IF(N(E59)&gt;0.5,IF(I59="Y","REMOVE NOW: target at risk","REMOVE NOW"),IF(N(E59)&gt;=0.3,"GRAY ZONE: assess structure",IF(G59="High","TREAT",IF(F59="Y","REMOVE AND REPLACE","PLANT FIRST, REMOVE LATER")))))</f>
        <v/>
      </c>
      <c r="K59" s="12" t="str">
        <f aca="false">IF(N(D59)=0,"",IF(J59="TREAT","Successor if space: ","")&amp;IF(H59="Wet","Quercus bicolor or Malus fusca",IF(H59="Riparian","Natives only: Malus fusca, Salix, Q. garryana on edges",IF(H59="Upland","Quercus garryana or Q. macrocarpa","Set site type"))))</f>
        <v/>
      </c>
      <c r="L59" s="54" t="str">
        <f aca="false">IF(N(D59)=0,"",D59*'Ash EAB'!$B$11)</f>
        <v/>
      </c>
      <c r="M59" s="54" t="str">
        <f aca="false">IF(N(D59)=0,"",L59*ROUNDUP('Ash EAB'!$B$17/'Ash EAB'!$B$12,0))</f>
        <v/>
      </c>
      <c r="N59" s="54" t="str">
        <f aca="false">IF(N(D59)=0,"",D59*'Ash EAB'!$B$13+'Ash EAB'!$B$15)</f>
        <v/>
      </c>
      <c r="O59" s="54" t="str">
        <f aca="false">IF(N(D59)=0,"",D59*'Ash EAB'!$B$13*'Ash EAB'!$B$14+'Ash EAB'!$B$15)</f>
        <v/>
      </c>
      <c r="P59" s="47" t="str">
        <f aca="false">IF(N(D59)=0,"",IF(M59&lt;N59,"Treat","Replace"))</f>
        <v/>
      </c>
      <c r="Q59" s="43"/>
      <c r="R59" s="37"/>
      <c r="S59" s="37" t="str">
        <f aca="false">IF(R59="","",EDATE(R59,ROUND('Ash EAB'!$B$12*12,0)))</f>
        <v/>
      </c>
      <c r="T59" s="47"/>
      <c r="U59" s="12"/>
    </row>
    <row r="60" customFormat="false" ht="15" hidden="false" customHeight="true" outlineLevel="0" collapsed="false">
      <c r="A60" s="43"/>
      <c r="B60" s="81"/>
      <c r="C60" s="12"/>
      <c r="D60" s="42"/>
      <c r="E60" s="85"/>
      <c r="F60" s="47"/>
      <c r="G60" s="47"/>
      <c r="H60" s="47"/>
      <c r="I60" s="47"/>
      <c r="J60" s="12" t="str">
        <f aca="false">IF(N(D60)=0,"",IF(N(E60)&gt;0.5,IF(I60="Y","REMOVE NOW: target at risk","REMOVE NOW"),IF(N(E60)&gt;=0.3,"GRAY ZONE: assess structure",IF(G60="High","TREAT",IF(F60="Y","REMOVE AND REPLACE","PLANT FIRST, REMOVE LATER")))))</f>
        <v/>
      </c>
      <c r="K60" s="12" t="str">
        <f aca="false">IF(N(D60)=0,"",IF(J60="TREAT","Successor if space: ","")&amp;IF(H60="Wet","Quercus bicolor or Malus fusca",IF(H60="Riparian","Natives only: Malus fusca, Salix, Q. garryana on edges",IF(H60="Upland","Quercus garryana or Q. macrocarpa","Set site type"))))</f>
        <v/>
      </c>
      <c r="L60" s="54" t="str">
        <f aca="false">IF(N(D60)=0,"",D60*'Ash EAB'!$B$11)</f>
        <v/>
      </c>
      <c r="M60" s="54" t="str">
        <f aca="false">IF(N(D60)=0,"",L60*ROUNDUP('Ash EAB'!$B$17/'Ash EAB'!$B$12,0))</f>
        <v/>
      </c>
      <c r="N60" s="54" t="str">
        <f aca="false">IF(N(D60)=0,"",D60*'Ash EAB'!$B$13+'Ash EAB'!$B$15)</f>
        <v/>
      </c>
      <c r="O60" s="54" t="str">
        <f aca="false">IF(N(D60)=0,"",D60*'Ash EAB'!$B$13*'Ash EAB'!$B$14+'Ash EAB'!$B$15)</f>
        <v/>
      </c>
      <c r="P60" s="47" t="str">
        <f aca="false">IF(N(D60)=0,"",IF(M60&lt;N60,"Treat","Replace"))</f>
        <v/>
      </c>
      <c r="Q60" s="43"/>
      <c r="R60" s="37"/>
      <c r="S60" s="37" t="str">
        <f aca="false">IF(R60="","",EDATE(R60,ROUND('Ash EAB'!$B$12*12,0)))</f>
        <v/>
      </c>
      <c r="T60" s="47"/>
      <c r="U60" s="12"/>
    </row>
    <row r="61" customFormat="false" ht="15" hidden="false" customHeight="true" outlineLevel="0" collapsed="false">
      <c r="A61" s="43"/>
      <c r="B61" s="81"/>
      <c r="C61" s="12"/>
      <c r="D61" s="42"/>
      <c r="E61" s="85"/>
      <c r="F61" s="47"/>
      <c r="G61" s="47"/>
      <c r="H61" s="47"/>
      <c r="I61" s="47"/>
      <c r="J61" s="12" t="str">
        <f aca="false">IF(N(D61)=0,"",IF(N(E61)&gt;0.5,IF(I61="Y","REMOVE NOW: target at risk","REMOVE NOW"),IF(N(E61)&gt;=0.3,"GRAY ZONE: assess structure",IF(G61="High","TREAT",IF(F61="Y","REMOVE AND REPLACE","PLANT FIRST, REMOVE LATER")))))</f>
        <v/>
      </c>
      <c r="K61" s="12" t="str">
        <f aca="false">IF(N(D61)=0,"",IF(J61="TREAT","Successor if space: ","")&amp;IF(H61="Wet","Quercus bicolor or Malus fusca",IF(H61="Riparian","Natives only: Malus fusca, Salix, Q. garryana on edges",IF(H61="Upland","Quercus garryana or Q. macrocarpa","Set site type"))))</f>
        <v/>
      </c>
      <c r="L61" s="54" t="str">
        <f aca="false">IF(N(D61)=0,"",D61*'Ash EAB'!$B$11)</f>
        <v/>
      </c>
      <c r="M61" s="54" t="str">
        <f aca="false">IF(N(D61)=0,"",L61*ROUNDUP('Ash EAB'!$B$17/'Ash EAB'!$B$12,0))</f>
        <v/>
      </c>
      <c r="N61" s="54" t="str">
        <f aca="false">IF(N(D61)=0,"",D61*'Ash EAB'!$B$13+'Ash EAB'!$B$15)</f>
        <v/>
      </c>
      <c r="O61" s="54" t="str">
        <f aca="false">IF(N(D61)=0,"",D61*'Ash EAB'!$B$13*'Ash EAB'!$B$14+'Ash EAB'!$B$15)</f>
        <v/>
      </c>
      <c r="P61" s="47" t="str">
        <f aca="false">IF(N(D61)=0,"",IF(M61&lt;N61,"Treat","Replace"))</f>
        <v/>
      </c>
      <c r="Q61" s="43"/>
      <c r="R61" s="37"/>
      <c r="S61" s="37" t="str">
        <f aca="false">IF(R61="","",EDATE(R61,ROUND('Ash EAB'!$B$12*12,0)))</f>
        <v/>
      </c>
      <c r="T61" s="47"/>
      <c r="U61" s="12"/>
    </row>
    <row r="62" customFormat="false" ht="15" hidden="false" customHeight="true" outlineLevel="0" collapsed="false">
      <c r="A62" s="43"/>
      <c r="B62" s="81"/>
      <c r="C62" s="12"/>
      <c r="D62" s="42"/>
      <c r="E62" s="85"/>
      <c r="F62" s="47"/>
      <c r="G62" s="47"/>
      <c r="H62" s="47"/>
      <c r="I62" s="47"/>
      <c r="J62" s="12" t="str">
        <f aca="false">IF(N(D62)=0,"",IF(N(E62)&gt;0.5,IF(I62="Y","REMOVE NOW: target at risk","REMOVE NOW"),IF(N(E62)&gt;=0.3,"GRAY ZONE: assess structure",IF(G62="High","TREAT",IF(F62="Y","REMOVE AND REPLACE","PLANT FIRST, REMOVE LATER")))))</f>
        <v/>
      </c>
      <c r="K62" s="12" t="str">
        <f aca="false">IF(N(D62)=0,"",IF(J62="TREAT","Successor if space: ","")&amp;IF(H62="Wet","Quercus bicolor or Malus fusca",IF(H62="Riparian","Natives only: Malus fusca, Salix, Q. garryana on edges",IF(H62="Upland","Quercus garryana or Q. macrocarpa","Set site type"))))</f>
        <v/>
      </c>
      <c r="L62" s="54" t="str">
        <f aca="false">IF(N(D62)=0,"",D62*'Ash EAB'!$B$11)</f>
        <v/>
      </c>
      <c r="M62" s="54" t="str">
        <f aca="false">IF(N(D62)=0,"",L62*ROUNDUP('Ash EAB'!$B$17/'Ash EAB'!$B$12,0))</f>
        <v/>
      </c>
      <c r="N62" s="54" t="str">
        <f aca="false">IF(N(D62)=0,"",D62*'Ash EAB'!$B$13+'Ash EAB'!$B$15)</f>
        <v/>
      </c>
      <c r="O62" s="54" t="str">
        <f aca="false">IF(N(D62)=0,"",D62*'Ash EAB'!$B$13*'Ash EAB'!$B$14+'Ash EAB'!$B$15)</f>
        <v/>
      </c>
      <c r="P62" s="47" t="str">
        <f aca="false">IF(N(D62)=0,"",IF(M62&lt;N62,"Treat","Replace"))</f>
        <v/>
      </c>
      <c r="Q62" s="43"/>
      <c r="R62" s="37"/>
      <c r="S62" s="37" t="str">
        <f aca="false">IF(R62="","",EDATE(R62,ROUND('Ash EAB'!$B$12*12,0)))</f>
        <v/>
      </c>
      <c r="T62" s="47"/>
      <c r="U62" s="12"/>
    </row>
    <row r="63" customFormat="false" ht="15" hidden="false" customHeight="true" outlineLevel="0" collapsed="false">
      <c r="A63" s="43"/>
      <c r="B63" s="81"/>
      <c r="C63" s="12"/>
      <c r="D63" s="42"/>
      <c r="E63" s="85"/>
      <c r="F63" s="47"/>
      <c r="G63" s="47"/>
      <c r="H63" s="47"/>
      <c r="I63" s="47"/>
      <c r="J63" s="12" t="str">
        <f aca="false">IF(N(D63)=0,"",IF(N(E63)&gt;0.5,IF(I63="Y","REMOVE NOW: target at risk","REMOVE NOW"),IF(N(E63)&gt;=0.3,"GRAY ZONE: assess structure",IF(G63="High","TREAT",IF(F63="Y","REMOVE AND REPLACE","PLANT FIRST, REMOVE LATER")))))</f>
        <v/>
      </c>
      <c r="K63" s="12" t="str">
        <f aca="false">IF(N(D63)=0,"",IF(J63="TREAT","Successor if space: ","")&amp;IF(H63="Wet","Quercus bicolor or Malus fusca",IF(H63="Riparian","Natives only: Malus fusca, Salix, Q. garryana on edges",IF(H63="Upland","Quercus garryana or Q. macrocarpa","Set site type"))))</f>
        <v/>
      </c>
      <c r="L63" s="54" t="str">
        <f aca="false">IF(N(D63)=0,"",D63*'Ash EAB'!$B$11)</f>
        <v/>
      </c>
      <c r="M63" s="54" t="str">
        <f aca="false">IF(N(D63)=0,"",L63*ROUNDUP('Ash EAB'!$B$17/'Ash EAB'!$B$12,0))</f>
        <v/>
      </c>
      <c r="N63" s="54" t="str">
        <f aca="false">IF(N(D63)=0,"",D63*'Ash EAB'!$B$13+'Ash EAB'!$B$15)</f>
        <v/>
      </c>
      <c r="O63" s="54" t="str">
        <f aca="false">IF(N(D63)=0,"",D63*'Ash EAB'!$B$13*'Ash EAB'!$B$14+'Ash EAB'!$B$15)</f>
        <v/>
      </c>
      <c r="P63" s="47" t="str">
        <f aca="false">IF(N(D63)=0,"",IF(M63&lt;N63,"Treat","Replace"))</f>
        <v/>
      </c>
      <c r="Q63" s="43"/>
      <c r="R63" s="37"/>
      <c r="S63" s="37" t="str">
        <f aca="false">IF(R63="","",EDATE(R63,ROUND('Ash EAB'!$B$12*12,0)))</f>
        <v/>
      </c>
      <c r="T63" s="47"/>
      <c r="U63" s="12"/>
    </row>
    <row r="64" customFormat="false" ht="15" hidden="false" customHeight="true" outlineLevel="0" collapsed="false">
      <c r="A64" s="43"/>
      <c r="B64" s="81"/>
      <c r="C64" s="12"/>
      <c r="D64" s="42"/>
      <c r="E64" s="85"/>
      <c r="F64" s="47"/>
      <c r="G64" s="47"/>
      <c r="H64" s="47"/>
      <c r="I64" s="47"/>
      <c r="J64" s="12" t="str">
        <f aca="false">IF(N(D64)=0,"",IF(N(E64)&gt;0.5,IF(I64="Y","REMOVE NOW: target at risk","REMOVE NOW"),IF(N(E64)&gt;=0.3,"GRAY ZONE: assess structure",IF(G64="High","TREAT",IF(F64="Y","REMOVE AND REPLACE","PLANT FIRST, REMOVE LATER")))))</f>
        <v/>
      </c>
      <c r="K64" s="12" t="str">
        <f aca="false">IF(N(D64)=0,"",IF(J64="TREAT","Successor if space: ","")&amp;IF(H64="Wet","Quercus bicolor or Malus fusca",IF(H64="Riparian","Natives only: Malus fusca, Salix, Q. garryana on edges",IF(H64="Upland","Quercus garryana or Q. macrocarpa","Set site type"))))</f>
        <v/>
      </c>
      <c r="L64" s="54" t="str">
        <f aca="false">IF(N(D64)=0,"",D64*'Ash EAB'!$B$11)</f>
        <v/>
      </c>
      <c r="M64" s="54" t="str">
        <f aca="false">IF(N(D64)=0,"",L64*ROUNDUP('Ash EAB'!$B$17/'Ash EAB'!$B$12,0))</f>
        <v/>
      </c>
      <c r="N64" s="54" t="str">
        <f aca="false">IF(N(D64)=0,"",D64*'Ash EAB'!$B$13+'Ash EAB'!$B$15)</f>
        <v/>
      </c>
      <c r="O64" s="54" t="str">
        <f aca="false">IF(N(D64)=0,"",D64*'Ash EAB'!$B$13*'Ash EAB'!$B$14+'Ash EAB'!$B$15)</f>
        <v/>
      </c>
      <c r="P64" s="47" t="str">
        <f aca="false">IF(N(D64)=0,"",IF(M64&lt;N64,"Treat","Replace"))</f>
        <v/>
      </c>
      <c r="Q64" s="43"/>
      <c r="R64" s="37"/>
      <c r="S64" s="37" t="str">
        <f aca="false">IF(R64="","",EDATE(R64,ROUND('Ash EAB'!$B$12*12,0)))</f>
        <v/>
      </c>
      <c r="T64" s="47"/>
      <c r="U64" s="12"/>
    </row>
    <row r="65" customFormat="false" ht="15" hidden="false" customHeight="true" outlineLevel="0" collapsed="false">
      <c r="A65" s="43"/>
      <c r="B65" s="81"/>
      <c r="C65" s="12"/>
      <c r="D65" s="42"/>
      <c r="E65" s="85"/>
      <c r="F65" s="47"/>
      <c r="G65" s="47"/>
      <c r="H65" s="47"/>
      <c r="I65" s="47"/>
      <c r="J65" s="12" t="str">
        <f aca="false">IF(N(D65)=0,"",IF(N(E65)&gt;0.5,IF(I65="Y","REMOVE NOW: target at risk","REMOVE NOW"),IF(N(E65)&gt;=0.3,"GRAY ZONE: assess structure",IF(G65="High","TREAT",IF(F65="Y","REMOVE AND REPLACE","PLANT FIRST, REMOVE LATER")))))</f>
        <v/>
      </c>
      <c r="K65" s="12" t="str">
        <f aca="false">IF(N(D65)=0,"",IF(J65="TREAT","Successor if space: ","")&amp;IF(H65="Wet","Quercus bicolor or Malus fusca",IF(H65="Riparian","Natives only: Malus fusca, Salix, Q. garryana on edges",IF(H65="Upland","Quercus garryana or Q. macrocarpa","Set site type"))))</f>
        <v/>
      </c>
      <c r="L65" s="54" t="str">
        <f aca="false">IF(N(D65)=0,"",D65*'Ash EAB'!$B$11)</f>
        <v/>
      </c>
      <c r="M65" s="54" t="str">
        <f aca="false">IF(N(D65)=0,"",L65*ROUNDUP('Ash EAB'!$B$17/'Ash EAB'!$B$12,0))</f>
        <v/>
      </c>
      <c r="N65" s="54" t="str">
        <f aca="false">IF(N(D65)=0,"",D65*'Ash EAB'!$B$13+'Ash EAB'!$B$15)</f>
        <v/>
      </c>
      <c r="O65" s="54" t="str">
        <f aca="false">IF(N(D65)=0,"",D65*'Ash EAB'!$B$13*'Ash EAB'!$B$14+'Ash EAB'!$B$15)</f>
        <v/>
      </c>
      <c r="P65" s="47" t="str">
        <f aca="false">IF(N(D65)=0,"",IF(M65&lt;N65,"Treat","Replace"))</f>
        <v/>
      </c>
      <c r="Q65" s="43"/>
      <c r="R65" s="37"/>
      <c r="S65" s="37" t="str">
        <f aca="false">IF(R65="","",EDATE(R65,ROUND('Ash EAB'!$B$12*12,0)))</f>
        <v/>
      </c>
      <c r="T65" s="47"/>
      <c r="U65" s="12"/>
    </row>
    <row r="66" customFormat="false" ht="15" hidden="false" customHeight="true" outlineLevel="0" collapsed="false">
      <c r="A66" s="43"/>
      <c r="B66" s="81"/>
      <c r="C66" s="12"/>
      <c r="D66" s="42"/>
      <c r="E66" s="85"/>
      <c r="F66" s="47"/>
      <c r="G66" s="47"/>
      <c r="H66" s="47"/>
      <c r="I66" s="47"/>
      <c r="J66" s="12" t="str">
        <f aca="false">IF(N(D66)=0,"",IF(N(E66)&gt;0.5,IF(I66="Y","REMOVE NOW: target at risk","REMOVE NOW"),IF(N(E66)&gt;=0.3,"GRAY ZONE: assess structure",IF(G66="High","TREAT",IF(F66="Y","REMOVE AND REPLACE","PLANT FIRST, REMOVE LATER")))))</f>
        <v/>
      </c>
      <c r="K66" s="12" t="str">
        <f aca="false">IF(N(D66)=0,"",IF(J66="TREAT","Successor if space: ","")&amp;IF(H66="Wet","Quercus bicolor or Malus fusca",IF(H66="Riparian","Natives only: Malus fusca, Salix, Q. garryana on edges",IF(H66="Upland","Quercus garryana or Q. macrocarpa","Set site type"))))</f>
        <v/>
      </c>
      <c r="L66" s="54" t="str">
        <f aca="false">IF(N(D66)=0,"",D66*'Ash EAB'!$B$11)</f>
        <v/>
      </c>
      <c r="M66" s="54" t="str">
        <f aca="false">IF(N(D66)=0,"",L66*ROUNDUP('Ash EAB'!$B$17/'Ash EAB'!$B$12,0))</f>
        <v/>
      </c>
      <c r="N66" s="54" t="str">
        <f aca="false">IF(N(D66)=0,"",D66*'Ash EAB'!$B$13+'Ash EAB'!$B$15)</f>
        <v/>
      </c>
      <c r="O66" s="54" t="str">
        <f aca="false">IF(N(D66)=0,"",D66*'Ash EAB'!$B$13*'Ash EAB'!$B$14+'Ash EAB'!$B$15)</f>
        <v/>
      </c>
      <c r="P66" s="47" t="str">
        <f aca="false">IF(N(D66)=0,"",IF(M66&lt;N66,"Treat","Replace"))</f>
        <v/>
      </c>
      <c r="Q66" s="43"/>
      <c r="R66" s="37"/>
      <c r="S66" s="37" t="str">
        <f aca="false">IF(R66="","",EDATE(R66,ROUND('Ash EAB'!$B$12*12,0)))</f>
        <v/>
      </c>
      <c r="T66" s="47"/>
      <c r="U66" s="12"/>
    </row>
    <row r="67" customFormat="false" ht="15" hidden="false" customHeight="true" outlineLevel="0" collapsed="false">
      <c r="A67" s="43"/>
      <c r="B67" s="81"/>
      <c r="C67" s="12"/>
      <c r="D67" s="42"/>
      <c r="E67" s="85"/>
      <c r="F67" s="47"/>
      <c r="G67" s="47"/>
      <c r="H67" s="47"/>
      <c r="I67" s="47"/>
      <c r="J67" s="12" t="str">
        <f aca="false">IF(N(D67)=0,"",IF(N(E67)&gt;0.5,IF(I67="Y","REMOVE NOW: target at risk","REMOVE NOW"),IF(N(E67)&gt;=0.3,"GRAY ZONE: assess structure",IF(G67="High","TREAT",IF(F67="Y","REMOVE AND REPLACE","PLANT FIRST, REMOVE LATER")))))</f>
        <v/>
      </c>
      <c r="K67" s="12" t="str">
        <f aca="false">IF(N(D67)=0,"",IF(J67="TREAT","Successor if space: ","")&amp;IF(H67="Wet","Quercus bicolor or Malus fusca",IF(H67="Riparian","Natives only: Malus fusca, Salix, Q. garryana on edges",IF(H67="Upland","Quercus garryana or Q. macrocarpa","Set site type"))))</f>
        <v/>
      </c>
      <c r="L67" s="54" t="str">
        <f aca="false">IF(N(D67)=0,"",D67*'Ash EAB'!$B$11)</f>
        <v/>
      </c>
      <c r="M67" s="54" t="str">
        <f aca="false">IF(N(D67)=0,"",L67*ROUNDUP('Ash EAB'!$B$17/'Ash EAB'!$B$12,0))</f>
        <v/>
      </c>
      <c r="N67" s="54" t="str">
        <f aca="false">IF(N(D67)=0,"",D67*'Ash EAB'!$B$13+'Ash EAB'!$B$15)</f>
        <v/>
      </c>
      <c r="O67" s="54" t="str">
        <f aca="false">IF(N(D67)=0,"",D67*'Ash EAB'!$B$13*'Ash EAB'!$B$14+'Ash EAB'!$B$15)</f>
        <v/>
      </c>
      <c r="P67" s="47" t="str">
        <f aca="false">IF(N(D67)=0,"",IF(M67&lt;N67,"Treat","Replace"))</f>
        <v/>
      </c>
      <c r="Q67" s="43"/>
      <c r="R67" s="37"/>
      <c r="S67" s="37" t="str">
        <f aca="false">IF(R67="","",EDATE(R67,ROUND('Ash EAB'!$B$12*12,0)))</f>
        <v/>
      </c>
      <c r="T67" s="47"/>
      <c r="U67" s="12"/>
    </row>
    <row r="68" customFormat="false" ht="15" hidden="false" customHeight="true" outlineLevel="0" collapsed="false">
      <c r="A68" s="43"/>
      <c r="B68" s="81"/>
      <c r="C68" s="12"/>
      <c r="D68" s="42"/>
      <c r="E68" s="85"/>
      <c r="F68" s="47"/>
      <c r="G68" s="47"/>
      <c r="H68" s="47"/>
      <c r="I68" s="47"/>
      <c r="J68" s="12" t="str">
        <f aca="false">IF(N(D68)=0,"",IF(N(E68)&gt;0.5,IF(I68="Y","REMOVE NOW: target at risk","REMOVE NOW"),IF(N(E68)&gt;=0.3,"GRAY ZONE: assess structure",IF(G68="High","TREAT",IF(F68="Y","REMOVE AND REPLACE","PLANT FIRST, REMOVE LATER")))))</f>
        <v/>
      </c>
      <c r="K68" s="12" t="str">
        <f aca="false">IF(N(D68)=0,"",IF(J68="TREAT","Successor if space: ","")&amp;IF(H68="Wet","Quercus bicolor or Malus fusca",IF(H68="Riparian","Natives only: Malus fusca, Salix, Q. garryana on edges",IF(H68="Upland","Quercus garryana or Q. macrocarpa","Set site type"))))</f>
        <v/>
      </c>
      <c r="L68" s="54" t="str">
        <f aca="false">IF(N(D68)=0,"",D68*'Ash EAB'!$B$11)</f>
        <v/>
      </c>
      <c r="M68" s="54" t="str">
        <f aca="false">IF(N(D68)=0,"",L68*ROUNDUP('Ash EAB'!$B$17/'Ash EAB'!$B$12,0))</f>
        <v/>
      </c>
      <c r="N68" s="54" t="str">
        <f aca="false">IF(N(D68)=0,"",D68*'Ash EAB'!$B$13+'Ash EAB'!$B$15)</f>
        <v/>
      </c>
      <c r="O68" s="54" t="str">
        <f aca="false">IF(N(D68)=0,"",D68*'Ash EAB'!$B$13*'Ash EAB'!$B$14+'Ash EAB'!$B$15)</f>
        <v/>
      </c>
      <c r="P68" s="47" t="str">
        <f aca="false">IF(N(D68)=0,"",IF(M68&lt;N68,"Treat","Replace"))</f>
        <v/>
      </c>
      <c r="Q68" s="43"/>
      <c r="R68" s="37"/>
      <c r="S68" s="37" t="str">
        <f aca="false">IF(R68="","",EDATE(R68,ROUND('Ash EAB'!$B$12*12,0)))</f>
        <v/>
      </c>
      <c r="T68" s="47"/>
      <c r="U68" s="12"/>
    </row>
    <row r="69" customFormat="false" ht="15" hidden="false" customHeight="true" outlineLevel="0" collapsed="false">
      <c r="A69" s="43"/>
      <c r="B69" s="81"/>
      <c r="C69" s="12"/>
      <c r="D69" s="42"/>
      <c r="E69" s="85"/>
      <c r="F69" s="47"/>
      <c r="G69" s="47"/>
      <c r="H69" s="47"/>
      <c r="I69" s="47"/>
      <c r="J69" s="12" t="str">
        <f aca="false">IF(N(D69)=0,"",IF(N(E69)&gt;0.5,IF(I69="Y","REMOVE NOW: target at risk","REMOVE NOW"),IF(N(E69)&gt;=0.3,"GRAY ZONE: assess structure",IF(G69="High","TREAT",IF(F69="Y","REMOVE AND REPLACE","PLANT FIRST, REMOVE LATER")))))</f>
        <v/>
      </c>
      <c r="K69" s="12" t="str">
        <f aca="false">IF(N(D69)=0,"",IF(J69="TREAT","Successor if space: ","")&amp;IF(H69="Wet","Quercus bicolor or Malus fusca",IF(H69="Riparian","Natives only: Malus fusca, Salix, Q. garryana on edges",IF(H69="Upland","Quercus garryana or Q. macrocarpa","Set site type"))))</f>
        <v/>
      </c>
      <c r="L69" s="54" t="str">
        <f aca="false">IF(N(D69)=0,"",D69*'Ash EAB'!$B$11)</f>
        <v/>
      </c>
      <c r="M69" s="54" t="str">
        <f aca="false">IF(N(D69)=0,"",L69*ROUNDUP('Ash EAB'!$B$17/'Ash EAB'!$B$12,0))</f>
        <v/>
      </c>
      <c r="N69" s="54" t="str">
        <f aca="false">IF(N(D69)=0,"",D69*'Ash EAB'!$B$13+'Ash EAB'!$B$15)</f>
        <v/>
      </c>
      <c r="O69" s="54" t="str">
        <f aca="false">IF(N(D69)=0,"",D69*'Ash EAB'!$B$13*'Ash EAB'!$B$14+'Ash EAB'!$B$15)</f>
        <v/>
      </c>
      <c r="P69" s="47" t="str">
        <f aca="false">IF(N(D69)=0,"",IF(M69&lt;N69,"Treat","Replace"))</f>
        <v/>
      </c>
      <c r="Q69" s="43"/>
      <c r="R69" s="37"/>
      <c r="S69" s="37" t="str">
        <f aca="false">IF(R69="","",EDATE(R69,ROUND('Ash EAB'!$B$12*12,0)))</f>
        <v/>
      </c>
      <c r="T69" s="47"/>
      <c r="U69" s="12"/>
    </row>
    <row r="70" customFormat="false" ht="15" hidden="false" customHeight="true" outlineLevel="0" collapsed="false">
      <c r="A70" s="43"/>
      <c r="B70" s="81"/>
      <c r="C70" s="12"/>
      <c r="D70" s="42"/>
      <c r="E70" s="85"/>
      <c r="F70" s="47"/>
      <c r="G70" s="47"/>
      <c r="H70" s="47"/>
      <c r="I70" s="47"/>
      <c r="J70" s="12" t="str">
        <f aca="false">IF(N(D70)=0,"",IF(N(E70)&gt;0.5,IF(I70="Y","REMOVE NOW: target at risk","REMOVE NOW"),IF(N(E70)&gt;=0.3,"GRAY ZONE: assess structure",IF(G70="High","TREAT",IF(F70="Y","REMOVE AND REPLACE","PLANT FIRST, REMOVE LATER")))))</f>
        <v/>
      </c>
      <c r="K70" s="12" t="str">
        <f aca="false">IF(N(D70)=0,"",IF(J70="TREAT","Successor if space: ","")&amp;IF(H70="Wet","Quercus bicolor or Malus fusca",IF(H70="Riparian","Natives only: Malus fusca, Salix, Q. garryana on edges",IF(H70="Upland","Quercus garryana or Q. macrocarpa","Set site type"))))</f>
        <v/>
      </c>
      <c r="L70" s="54" t="str">
        <f aca="false">IF(N(D70)=0,"",D70*'Ash EAB'!$B$11)</f>
        <v/>
      </c>
      <c r="M70" s="54" t="str">
        <f aca="false">IF(N(D70)=0,"",L70*ROUNDUP('Ash EAB'!$B$17/'Ash EAB'!$B$12,0))</f>
        <v/>
      </c>
      <c r="N70" s="54" t="str">
        <f aca="false">IF(N(D70)=0,"",D70*'Ash EAB'!$B$13+'Ash EAB'!$B$15)</f>
        <v/>
      </c>
      <c r="O70" s="54" t="str">
        <f aca="false">IF(N(D70)=0,"",D70*'Ash EAB'!$B$13*'Ash EAB'!$B$14+'Ash EAB'!$B$15)</f>
        <v/>
      </c>
      <c r="P70" s="47" t="str">
        <f aca="false">IF(N(D70)=0,"",IF(M70&lt;N70,"Treat","Replace"))</f>
        <v/>
      </c>
      <c r="Q70" s="43"/>
      <c r="R70" s="37"/>
      <c r="S70" s="37" t="str">
        <f aca="false">IF(R70="","",EDATE(R70,ROUND('Ash EAB'!$B$12*12,0)))</f>
        <v/>
      </c>
      <c r="T70" s="47"/>
      <c r="U70" s="12"/>
    </row>
    <row r="71" customFormat="false" ht="15" hidden="false" customHeight="true" outlineLevel="0" collapsed="false">
      <c r="A71" s="43"/>
      <c r="B71" s="81"/>
      <c r="C71" s="12"/>
      <c r="D71" s="42"/>
      <c r="E71" s="85"/>
      <c r="F71" s="47"/>
      <c r="G71" s="47"/>
      <c r="H71" s="47"/>
      <c r="I71" s="47"/>
      <c r="J71" s="12" t="str">
        <f aca="false">IF(N(D71)=0,"",IF(N(E71)&gt;0.5,IF(I71="Y","REMOVE NOW: target at risk","REMOVE NOW"),IF(N(E71)&gt;=0.3,"GRAY ZONE: assess structure",IF(G71="High","TREAT",IF(F71="Y","REMOVE AND REPLACE","PLANT FIRST, REMOVE LATER")))))</f>
        <v/>
      </c>
      <c r="K71" s="12" t="str">
        <f aca="false">IF(N(D71)=0,"",IF(J71="TREAT","Successor if space: ","")&amp;IF(H71="Wet","Quercus bicolor or Malus fusca",IF(H71="Riparian","Natives only: Malus fusca, Salix, Q. garryana on edges",IF(H71="Upland","Quercus garryana or Q. macrocarpa","Set site type"))))</f>
        <v/>
      </c>
      <c r="L71" s="54" t="str">
        <f aca="false">IF(N(D71)=0,"",D71*'Ash EAB'!$B$11)</f>
        <v/>
      </c>
      <c r="M71" s="54" t="str">
        <f aca="false">IF(N(D71)=0,"",L71*ROUNDUP('Ash EAB'!$B$17/'Ash EAB'!$B$12,0))</f>
        <v/>
      </c>
      <c r="N71" s="54" t="str">
        <f aca="false">IF(N(D71)=0,"",D71*'Ash EAB'!$B$13+'Ash EAB'!$B$15)</f>
        <v/>
      </c>
      <c r="O71" s="54" t="str">
        <f aca="false">IF(N(D71)=0,"",D71*'Ash EAB'!$B$13*'Ash EAB'!$B$14+'Ash EAB'!$B$15)</f>
        <v/>
      </c>
      <c r="P71" s="47" t="str">
        <f aca="false">IF(N(D71)=0,"",IF(M71&lt;N71,"Treat","Replace"))</f>
        <v/>
      </c>
      <c r="Q71" s="43"/>
      <c r="R71" s="37"/>
      <c r="S71" s="37" t="str">
        <f aca="false">IF(R71="","",EDATE(R71,ROUND('Ash EAB'!$B$12*12,0)))</f>
        <v/>
      </c>
      <c r="T71" s="47"/>
      <c r="U71" s="12"/>
    </row>
    <row r="72" customFormat="false" ht="15" hidden="false" customHeight="true" outlineLevel="0" collapsed="false">
      <c r="A72" s="43"/>
      <c r="B72" s="81"/>
      <c r="C72" s="12"/>
      <c r="D72" s="42"/>
      <c r="E72" s="85"/>
      <c r="F72" s="47"/>
      <c r="G72" s="47"/>
      <c r="H72" s="47"/>
      <c r="I72" s="47"/>
      <c r="J72" s="12" t="str">
        <f aca="false">IF(N(D72)=0,"",IF(N(E72)&gt;0.5,IF(I72="Y","REMOVE NOW: target at risk","REMOVE NOW"),IF(N(E72)&gt;=0.3,"GRAY ZONE: assess structure",IF(G72="High","TREAT",IF(F72="Y","REMOVE AND REPLACE","PLANT FIRST, REMOVE LATER")))))</f>
        <v/>
      </c>
      <c r="K72" s="12" t="str">
        <f aca="false">IF(N(D72)=0,"",IF(J72="TREAT","Successor if space: ","")&amp;IF(H72="Wet","Quercus bicolor or Malus fusca",IF(H72="Riparian","Natives only: Malus fusca, Salix, Q. garryana on edges",IF(H72="Upland","Quercus garryana or Q. macrocarpa","Set site type"))))</f>
        <v/>
      </c>
      <c r="L72" s="54" t="str">
        <f aca="false">IF(N(D72)=0,"",D72*'Ash EAB'!$B$11)</f>
        <v/>
      </c>
      <c r="M72" s="54" t="str">
        <f aca="false">IF(N(D72)=0,"",L72*ROUNDUP('Ash EAB'!$B$17/'Ash EAB'!$B$12,0))</f>
        <v/>
      </c>
      <c r="N72" s="54" t="str">
        <f aca="false">IF(N(D72)=0,"",D72*'Ash EAB'!$B$13+'Ash EAB'!$B$15)</f>
        <v/>
      </c>
      <c r="O72" s="54" t="str">
        <f aca="false">IF(N(D72)=0,"",D72*'Ash EAB'!$B$13*'Ash EAB'!$B$14+'Ash EAB'!$B$15)</f>
        <v/>
      </c>
      <c r="P72" s="47" t="str">
        <f aca="false">IF(N(D72)=0,"",IF(M72&lt;N72,"Treat","Replace"))</f>
        <v/>
      </c>
      <c r="Q72" s="43"/>
      <c r="R72" s="37"/>
      <c r="S72" s="37" t="str">
        <f aca="false">IF(R72="","",EDATE(R72,ROUND('Ash EAB'!$B$12*12,0)))</f>
        <v/>
      </c>
      <c r="T72" s="47"/>
      <c r="U72" s="12"/>
    </row>
    <row r="73" customFormat="false" ht="15" hidden="false" customHeight="true" outlineLevel="0" collapsed="false">
      <c r="A73" s="43"/>
      <c r="B73" s="81"/>
      <c r="C73" s="12"/>
      <c r="D73" s="42"/>
      <c r="E73" s="85"/>
      <c r="F73" s="47"/>
      <c r="G73" s="47"/>
      <c r="H73" s="47"/>
      <c r="I73" s="47"/>
      <c r="J73" s="12" t="str">
        <f aca="false">IF(N(D73)=0,"",IF(N(E73)&gt;0.5,IF(I73="Y","REMOVE NOW: target at risk","REMOVE NOW"),IF(N(E73)&gt;=0.3,"GRAY ZONE: assess structure",IF(G73="High","TREAT",IF(F73="Y","REMOVE AND REPLACE","PLANT FIRST, REMOVE LATER")))))</f>
        <v/>
      </c>
      <c r="K73" s="12" t="str">
        <f aca="false">IF(N(D73)=0,"",IF(J73="TREAT","Successor if space: ","")&amp;IF(H73="Wet","Quercus bicolor or Malus fusca",IF(H73="Riparian","Natives only: Malus fusca, Salix, Q. garryana on edges",IF(H73="Upland","Quercus garryana or Q. macrocarpa","Set site type"))))</f>
        <v/>
      </c>
      <c r="L73" s="54" t="str">
        <f aca="false">IF(N(D73)=0,"",D73*'Ash EAB'!$B$11)</f>
        <v/>
      </c>
      <c r="M73" s="54" t="str">
        <f aca="false">IF(N(D73)=0,"",L73*ROUNDUP('Ash EAB'!$B$17/'Ash EAB'!$B$12,0))</f>
        <v/>
      </c>
      <c r="N73" s="54" t="str">
        <f aca="false">IF(N(D73)=0,"",D73*'Ash EAB'!$B$13+'Ash EAB'!$B$15)</f>
        <v/>
      </c>
      <c r="O73" s="54" t="str">
        <f aca="false">IF(N(D73)=0,"",D73*'Ash EAB'!$B$13*'Ash EAB'!$B$14+'Ash EAB'!$B$15)</f>
        <v/>
      </c>
      <c r="P73" s="47" t="str">
        <f aca="false">IF(N(D73)=0,"",IF(M73&lt;N73,"Treat","Replace"))</f>
        <v/>
      </c>
      <c r="Q73" s="43"/>
      <c r="R73" s="37"/>
      <c r="S73" s="37" t="str">
        <f aca="false">IF(R73="","",EDATE(R73,ROUND('Ash EAB'!$B$12*12,0)))</f>
        <v/>
      </c>
      <c r="T73" s="47"/>
      <c r="U73" s="12"/>
    </row>
    <row r="74" customFormat="false" ht="15" hidden="false" customHeight="true" outlineLevel="0" collapsed="false">
      <c r="A74" s="43"/>
      <c r="B74" s="81"/>
      <c r="C74" s="12"/>
      <c r="D74" s="42"/>
      <c r="E74" s="85"/>
      <c r="F74" s="47"/>
      <c r="G74" s="47"/>
      <c r="H74" s="47"/>
      <c r="I74" s="47"/>
      <c r="J74" s="12" t="str">
        <f aca="false">IF(N(D74)=0,"",IF(N(E74)&gt;0.5,IF(I74="Y","REMOVE NOW: target at risk","REMOVE NOW"),IF(N(E74)&gt;=0.3,"GRAY ZONE: assess structure",IF(G74="High","TREAT",IF(F74="Y","REMOVE AND REPLACE","PLANT FIRST, REMOVE LATER")))))</f>
        <v/>
      </c>
      <c r="K74" s="12" t="str">
        <f aca="false">IF(N(D74)=0,"",IF(J74="TREAT","Successor if space: ","")&amp;IF(H74="Wet","Quercus bicolor or Malus fusca",IF(H74="Riparian","Natives only: Malus fusca, Salix, Q. garryana on edges",IF(H74="Upland","Quercus garryana or Q. macrocarpa","Set site type"))))</f>
        <v/>
      </c>
      <c r="L74" s="54" t="str">
        <f aca="false">IF(N(D74)=0,"",D74*'Ash EAB'!$B$11)</f>
        <v/>
      </c>
      <c r="M74" s="54" t="str">
        <f aca="false">IF(N(D74)=0,"",L74*ROUNDUP('Ash EAB'!$B$17/'Ash EAB'!$B$12,0))</f>
        <v/>
      </c>
      <c r="N74" s="54" t="str">
        <f aca="false">IF(N(D74)=0,"",D74*'Ash EAB'!$B$13+'Ash EAB'!$B$15)</f>
        <v/>
      </c>
      <c r="O74" s="54" t="str">
        <f aca="false">IF(N(D74)=0,"",D74*'Ash EAB'!$B$13*'Ash EAB'!$B$14+'Ash EAB'!$B$15)</f>
        <v/>
      </c>
      <c r="P74" s="47" t="str">
        <f aca="false">IF(N(D74)=0,"",IF(M74&lt;N74,"Treat","Replace"))</f>
        <v/>
      </c>
      <c r="Q74" s="43"/>
      <c r="R74" s="37"/>
      <c r="S74" s="37" t="str">
        <f aca="false">IF(R74="","",EDATE(R74,ROUND('Ash EAB'!$B$12*12,0)))</f>
        <v/>
      </c>
      <c r="T74" s="47"/>
      <c r="U74" s="12"/>
    </row>
    <row r="75" customFormat="false" ht="15" hidden="false" customHeight="true" outlineLevel="0" collapsed="false">
      <c r="A75" s="43"/>
      <c r="B75" s="81"/>
      <c r="C75" s="12"/>
      <c r="D75" s="42"/>
      <c r="E75" s="85"/>
      <c r="F75" s="47"/>
      <c r="G75" s="47"/>
      <c r="H75" s="47"/>
      <c r="I75" s="47"/>
      <c r="J75" s="12" t="str">
        <f aca="false">IF(N(D75)=0,"",IF(N(E75)&gt;0.5,IF(I75="Y","REMOVE NOW: target at risk","REMOVE NOW"),IF(N(E75)&gt;=0.3,"GRAY ZONE: assess structure",IF(G75="High","TREAT",IF(F75="Y","REMOVE AND REPLACE","PLANT FIRST, REMOVE LATER")))))</f>
        <v/>
      </c>
      <c r="K75" s="12" t="str">
        <f aca="false">IF(N(D75)=0,"",IF(J75="TREAT","Successor if space: ","")&amp;IF(H75="Wet","Quercus bicolor or Malus fusca",IF(H75="Riparian","Natives only: Malus fusca, Salix, Q. garryana on edges",IF(H75="Upland","Quercus garryana or Q. macrocarpa","Set site type"))))</f>
        <v/>
      </c>
      <c r="L75" s="54" t="str">
        <f aca="false">IF(N(D75)=0,"",D75*'Ash EAB'!$B$11)</f>
        <v/>
      </c>
      <c r="M75" s="54" t="str">
        <f aca="false">IF(N(D75)=0,"",L75*ROUNDUP('Ash EAB'!$B$17/'Ash EAB'!$B$12,0))</f>
        <v/>
      </c>
      <c r="N75" s="54" t="str">
        <f aca="false">IF(N(D75)=0,"",D75*'Ash EAB'!$B$13+'Ash EAB'!$B$15)</f>
        <v/>
      </c>
      <c r="O75" s="54" t="str">
        <f aca="false">IF(N(D75)=0,"",D75*'Ash EAB'!$B$13*'Ash EAB'!$B$14+'Ash EAB'!$B$15)</f>
        <v/>
      </c>
      <c r="P75" s="47" t="str">
        <f aca="false">IF(N(D75)=0,"",IF(M75&lt;N75,"Treat","Replace"))</f>
        <v/>
      </c>
      <c r="Q75" s="43"/>
      <c r="R75" s="37"/>
      <c r="S75" s="37" t="str">
        <f aca="false">IF(R75="","",EDATE(R75,ROUND('Ash EAB'!$B$12*12,0)))</f>
        <v/>
      </c>
      <c r="T75" s="47"/>
      <c r="U75" s="12"/>
    </row>
    <row r="76" customFormat="false" ht="15" hidden="false" customHeight="true" outlineLevel="0" collapsed="false">
      <c r="A76" s="43"/>
      <c r="B76" s="81"/>
      <c r="C76" s="12"/>
      <c r="D76" s="42"/>
      <c r="E76" s="85"/>
      <c r="F76" s="47"/>
      <c r="G76" s="47"/>
      <c r="H76" s="47"/>
      <c r="I76" s="47"/>
      <c r="J76" s="12" t="str">
        <f aca="false">IF(N(D76)=0,"",IF(N(E76)&gt;0.5,IF(I76="Y","REMOVE NOW: target at risk","REMOVE NOW"),IF(N(E76)&gt;=0.3,"GRAY ZONE: assess structure",IF(G76="High","TREAT",IF(F76="Y","REMOVE AND REPLACE","PLANT FIRST, REMOVE LATER")))))</f>
        <v/>
      </c>
      <c r="K76" s="12" t="str">
        <f aca="false">IF(N(D76)=0,"",IF(J76="TREAT","Successor if space: ","")&amp;IF(H76="Wet","Quercus bicolor or Malus fusca",IF(H76="Riparian","Natives only: Malus fusca, Salix, Q. garryana on edges",IF(H76="Upland","Quercus garryana or Q. macrocarpa","Set site type"))))</f>
        <v/>
      </c>
      <c r="L76" s="54" t="str">
        <f aca="false">IF(N(D76)=0,"",D76*'Ash EAB'!$B$11)</f>
        <v/>
      </c>
      <c r="M76" s="54" t="str">
        <f aca="false">IF(N(D76)=0,"",L76*ROUNDUP('Ash EAB'!$B$17/'Ash EAB'!$B$12,0))</f>
        <v/>
      </c>
      <c r="N76" s="54" t="str">
        <f aca="false">IF(N(D76)=0,"",D76*'Ash EAB'!$B$13+'Ash EAB'!$B$15)</f>
        <v/>
      </c>
      <c r="O76" s="54" t="str">
        <f aca="false">IF(N(D76)=0,"",D76*'Ash EAB'!$B$13*'Ash EAB'!$B$14+'Ash EAB'!$B$15)</f>
        <v/>
      </c>
      <c r="P76" s="47" t="str">
        <f aca="false">IF(N(D76)=0,"",IF(M76&lt;N76,"Treat","Replace"))</f>
        <v/>
      </c>
      <c r="Q76" s="43"/>
      <c r="R76" s="37"/>
      <c r="S76" s="37" t="str">
        <f aca="false">IF(R76="","",EDATE(R76,ROUND('Ash EAB'!$B$12*12,0)))</f>
        <v/>
      </c>
      <c r="T76" s="47"/>
      <c r="U76" s="12"/>
    </row>
    <row r="77" customFormat="false" ht="15" hidden="false" customHeight="true" outlineLevel="0" collapsed="false">
      <c r="A77" s="43"/>
      <c r="B77" s="81"/>
      <c r="C77" s="12"/>
      <c r="D77" s="42"/>
      <c r="E77" s="85"/>
      <c r="F77" s="47"/>
      <c r="G77" s="47"/>
      <c r="H77" s="47"/>
      <c r="I77" s="47"/>
      <c r="J77" s="12" t="str">
        <f aca="false">IF(N(D77)=0,"",IF(N(E77)&gt;0.5,IF(I77="Y","REMOVE NOW: target at risk","REMOVE NOW"),IF(N(E77)&gt;=0.3,"GRAY ZONE: assess structure",IF(G77="High","TREAT",IF(F77="Y","REMOVE AND REPLACE","PLANT FIRST, REMOVE LATER")))))</f>
        <v/>
      </c>
      <c r="K77" s="12" t="str">
        <f aca="false">IF(N(D77)=0,"",IF(J77="TREAT","Successor if space: ","")&amp;IF(H77="Wet","Quercus bicolor or Malus fusca",IF(H77="Riparian","Natives only: Malus fusca, Salix, Q. garryana on edges",IF(H77="Upland","Quercus garryana or Q. macrocarpa","Set site type"))))</f>
        <v/>
      </c>
      <c r="L77" s="54" t="str">
        <f aca="false">IF(N(D77)=0,"",D77*'Ash EAB'!$B$11)</f>
        <v/>
      </c>
      <c r="M77" s="54" t="str">
        <f aca="false">IF(N(D77)=0,"",L77*ROUNDUP('Ash EAB'!$B$17/'Ash EAB'!$B$12,0))</f>
        <v/>
      </c>
      <c r="N77" s="54" t="str">
        <f aca="false">IF(N(D77)=0,"",D77*'Ash EAB'!$B$13+'Ash EAB'!$B$15)</f>
        <v/>
      </c>
      <c r="O77" s="54" t="str">
        <f aca="false">IF(N(D77)=0,"",D77*'Ash EAB'!$B$13*'Ash EAB'!$B$14+'Ash EAB'!$B$15)</f>
        <v/>
      </c>
      <c r="P77" s="47" t="str">
        <f aca="false">IF(N(D77)=0,"",IF(M77&lt;N77,"Treat","Replace"))</f>
        <v/>
      </c>
      <c r="Q77" s="43"/>
      <c r="R77" s="37"/>
      <c r="S77" s="37" t="str">
        <f aca="false">IF(R77="","",EDATE(R77,ROUND('Ash EAB'!$B$12*12,0)))</f>
        <v/>
      </c>
      <c r="T77" s="47"/>
      <c r="U77" s="12"/>
    </row>
    <row r="78" customFormat="false" ht="15" hidden="false" customHeight="true" outlineLevel="0" collapsed="false">
      <c r="A78" s="43"/>
      <c r="B78" s="81"/>
      <c r="C78" s="12"/>
      <c r="D78" s="42"/>
      <c r="E78" s="85"/>
      <c r="F78" s="47"/>
      <c r="G78" s="47"/>
      <c r="H78" s="47"/>
      <c r="I78" s="47"/>
      <c r="J78" s="12" t="str">
        <f aca="false">IF(N(D78)=0,"",IF(N(E78)&gt;0.5,IF(I78="Y","REMOVE NOW: target at risk","REMOVE NOW"),IF(N(E78)&gt;=0.3,"GRAY ZONE: assess structure",IF(G78="High","TREAT",IF(F78="Y","REMOVE AND REPLACE","PLANT FIRST, REMOVE LATER")))))</f>
        <v/>
      </c>
      <c r="K78" s="12" t="str">
        <f aca="false">IF(N(D78)=0,"",IF(J78="TREAT","Successor if space: ","")&amp;IF(H78="Wet","Quercus bicolor or Malus fusca",IF(H78="Riparian","Natives only: Malus fusca, Salix, Q. garryana on edges",IF(H78="Upland","Quercus garryana or Q. macrocarpa","Set site type"))))</f>
        <v/>
      </c>
      <c r="L78" s="54" t="str">
        <f aca="false">IF(N(D78)=0,"",D78*'Ash EAB'!$B$11)</f>
        <v/>
      </c>
      <c r="M78" s="54" t="str">
        <f aca="false">IF(N(D78)=0,"",L78*ROUNDUP('Ash EAB'!$B$17/'Ash EAB'!$B$12,0))</f>
        <v/>
      </c>
      <c r="N78" s="54" t="str">
        <f aca="false">IF(N(D78)=0,"",D78*'Ash EAB'!$B$13+'Ash EAB'!$B$15)</f>
        <v/>
      </c>
      <c r="O78" s="54" t="str">
        <f aca="false">IF(N(D78)=0,"",D78*'Ash EAB'!$B$13*'Ash EAB'!$B$14+'Ash EAB'!$B$15)</f>
        <v/>
      </c>
      <c r="P78" s="47" t="str">
        <f aca="false">IF(N(D78)=0,"",IF(M78&lt;N78,"Treat","Replace"))</f>
        <v/>
      </c>
      <c r="Q78" s="43"/>
      <c r="R78" s="37"/>
      <c r="S78" s="37" t="str">
        <f aca="false">IF(R78="","",EDATE(R78,ROUND('Ash EAB'!$B$12*12,0)))</f>
        <v/>
      </c>
      <c r="T78" s="47"/>
      <c r="U78" s="12"/>
    </row>
    <row r="79" customFormat="false" ht="15" hidden="false" customHeight="true" outlineLevel="0" collapsed="false">
      <c r="A79" s="43"/>
      <c r="B79" s="81"/>
      <c r="C79" s="12"/>
      <c r="D79" s="42"/>
      <c r="E79" s="85"/>
      <c r="F79" s="47"/>
      <c r="G79" s="47"/>
      <c r="H79" s="47"/>
      <c r="I79" s="47"/>
      <c r="J79" s="12" t="str">
        <f aca="false">IF(N(D79)=0,"",IF(N(E79)&gt;0.5,IF(I79="Y","REMOVE NOW: target at risk","REMOVE NOW"),IF(N(E79)&gt;=0.3,"GRAY ZONE: assess structure",IF(G79="High","TREAT",IF(F79="Y","REMOVE AND REPLACE","PLANT FIRST, REMOVE LATER")))))</f>
        <v/>
      </c>
      <c r="K79" s="12" t="str">
        <f aca="false">IF(N(D79)=0,"",IF(J79="TREAT","Successor if space: ","")&amp;IF(H79="Wet","Quercus bicolor or Malus fusca",IF(H79="Riparian","Natives only: Malus fusca, Salix, Q. garryana on edges",IF(H79="Upland","Quercus garryana or Q. macrocarpa","Set site type"))))</f>
        <v/>
      </c>
      <c r="L79" s="54" t="str">
        <f aca="false">IF(N(D79)=0,"",D79*'Ash EAB'!$B$11)</f>
        <v/>
      </c>
      <c r="M79" s="54" t="str">
        <f aca="false">IF(N(D79)=0,"",L79*ROUNDUP('Ash EAB'!$B$17/'Ash EAB'!$B$12,0))</f>
        <v/>
      </c>
      <c r="N79" s="54" t="str">
        <f aca="false">IF(N(D79)=0,"",D79*'Ash EAB'!$B$13+'Ash EAB'!$B$15)</f>
        <v/>
      </c>
      <c r="O79" s="54" t="str">
        <f aca="false">IF(N(D79)=0,"",D79*'Ash EAB'!$B$13*'Ash EAB'!$B$14+'Ash EAB'!$B$15)</f>
        <v/>
      </c>
      <c r="P79" s="47" t="str">
        <f aca="false">IF(N(D79)=0,"",IF(M79&lt;N79,"Treat","Replace"))</f>
        <v/>
      </c>
      <c r="Q79" s="43"/>
      <c r="R79" s="37"/>
      <c r="S79" s="37" t="str">
        <f aca="false">IF(R79="","",EDATE(R79,ROUND('Ash EAB'!$B$12*12,0)))</f>
        <v/>
      </c>
      <c r="T79" s="47"/>
      <c r="U79" s="12"/>
    </row>
    <row r="80" customFormat="false" ht="15" hidden="false" customHeight="true" outlineLevel="0" collapsed="false">
      <c r="A80" s="43"/>
      <c r="B80" s="81"/>
      <c r="C80" s="12"/>
      <c r="D80" s="42"/>
      <c r="E80" s="85"/>
      <c r="F80" s="47"/>
      <c r="G80" s="47"/>
      <c r="H80" s="47"/>
      <c r="I80" s="47"/>
      <c r="J80" s="12" t="str">
        <f aca="false">IF(N(D80)=0,"",IF(N(E80)&gt;0.5,IF(I80="Y","REMOVE NOW: target at risk","REMOVE NOW"),IF(N(E80)&gt;=0.3,"GRAY ZONE: assess structure",IF(G80="High","TREAT",IF(F80="Y","REMOVE AND REPLACE","PLANT FIRST, REMOVE LATER")))))</f>
        <v/>
      </c>
      <c r="K80" s="12" t="str">
        <f aca="false">IF(N(D80)=0,"",IF(J80="TREAT","Successor if space: ","")&amp;IF(H80="Wet","Quercus bicolor or Malus fusca",IF(H80="Riparian","Natives only: Malus fusca, Salix, Q. garryana on edges",IF(H80="Upland","Quercus garryana or Q. macrocarpa","Set site type"))))</f>
        <v/>
      </c>
      <c r="L80" s="54" t="str">
        <f aca="false">IF(N(D80)=0,"",D80*'Ash EAB'!$B$11)</f>
        <v/>
      </c>
      <c r="M80" s="54" t="str">
        <f aca="false">IF(N(D80)=0,"",L80*ROUNDUP('Ash EAB'!$B$17/'Ash EAB'!$B$12,0))</f>
        <v/>
      </c>
      <c r="N80" s="54" t="str">
        <f aca="false">IF(N(D80)=0,"",D80*'Ash EAB'!$B$13+'Ash EAB'!$B$15)</f>
        <v/>
      </c>
      <c r="O80" s="54" t="str">
        <f aca="false">IF(N(D80)=0,"",D80*'Ash EAB'!$B$13*'Ash EAB'!$B$14+'Ash EAB'!$B$15)</f>
        <v/>
      </c>
      <c r="P80" s="47" t="str">
        <f aca="false">IF(N(D80)=0,"",IF(M80&lt;N80,"Treat","Replace"))</f>
        <v/>
      </c>
      <c r="Q80" s="43"/>
      <c r="R80" s="37"/>
      <c r="S80" s="37" t="str">
        <f aca="false">IF(R80="","",EDATE(R80,ROUND('Ash EAB'!$B$12*12,0)))</f>
        <v/>
      </c>
      <c r="T80" s="47"/>
      <c r="U80" s="12"/>
    </row>
    <row r="81" customFormat="false" ht="15" hidden="false" customHeight="true" outlineLevel="0" collapsed="false">
      <c r="A81" s="43"/>
      <c r="B81" s="81"/>
      <c r="C81" s="12"/>
      <c r="D81" s="42"/>
      <c r="E81" s="85"/>
      <c r="F81" s="47"/>
      <c r="G81" s="47"/>
      <c r="H81" s="47"/>
      <c r="I81" s="47"/>
      <c r="J81" s="12" t="str">
        <f aca="false">IF(N(D81)=0,"",IF(N(E81)&gt;0.5,IF(I81="Y","REMOVE NOW: target at risk","REMOVE NOW"),IF(N(E81)&gt;=0.3,"GRAY ZONE: assess structure",IF(G81="High","TREAT",IF(F81="Y","REMOVE AND REPLACE","PLANT FIRST, REMOVE LATER")))))</f>
        <v/>
      </c>
      <c r="K81" s="12" t="str">
        <f aca="false">IF(N(D81)=0,"",IF(J81="TREAT","Successor if space: ","")&amp;IF(H81="Wet","Quercus bicolor or Malus fusca",IF(H81="Riparian","Natives only: Malus fusca, Salix, Q. garryana on edges",IF(H81="Upland","Quercus garryana or Q. macrocarpa","Set site type"))))</f>
        <v/>
      </c>
      <c r="L81" s="54" t="str">
        <f aca="false">IF(N(D81)=0,"",D81*'Ash EAB'!$B$11)</f>
        <v/>
      </c>
      <c r="M81" s="54" t="str">
        <f aca="false">IF(N(D81)=0,"",L81*ROUNDUP('Ash EAB'!$B$17/'Ash EAB'!$B$12,0))</f>
        <v/>
      </c>
      <c r="N81" s="54" t="str">
        <f aca="false">IF(N(D81)=0,"",D81*'Ash EAB'!$B$13+'Ash EAB'!$B$15)</f>
        <v/>
      </c>
      <c r="O81" s="54" t="str">
        <f aca="false">IF(N(D81)=0,"",D81*'Ash EAB'!$B$13*'Ash EAB'!$B$14+'Ash EAB'!$B$15)</f>
        <v/>
      </c>
      <c r="P81" s="47" t="str">
        <f aca="false">IF(N(D81)=0,"",IF(M81&lt;N81,"Treat","Replace"))</f>
        <v/>
      </c>
      <c r="Q81" s="43"/>
      <c r="R81" s="37"/>
      <c r="S81" s="37" t="str">
        <f aca="false">IF(R81="","",EDATE(R81,ROUND('Ash EAB'!$B$12*12,0)))</f>
        <v/>
      </c>
      <c r="T81" s="47"/>
      <c r="U81" s="12"/>
    </row>
    <row r="82" customFormat="false" ht="15" hidden="false" customHeight="true" outlineLevel="0" collapsed="false">
      <c r="A82" s="43"/>
      <c r="B82" s="81"/>
      <c r="C82" s="12"/>
      <c r="D82" s="42"/>
      <c r="E82" s="85"/>
      <c r="F82" s="47"/>
      <c r="G82" s="47"/>
      <c r="H82" s="47"/>
      <c r="I82" s="47"/>
      <c r="J82" s="12" t="str">
        <f aca="false">IF(N(D82)=0,"",IF(N(E82)&gt;0.5,IF(I82="Y","REMOVE NOW: target at risk","REMOVE NOW"),IF(N(E82)&gt;=0.3,"GRAY ZONE: assess structure",IF(G82="High","TREAT",IF(F82="Y","REMOVE AND REPLACE","PLANT FIRST, REMOVE LATER")))))</f>
        <v/>
      </c>
      <c r="K82" s="12" t="str">
        <f aca="false">IF(N(D82)=0,"",IF(J82="TREAT","Successor if space: ","")&amp;IF(H82="Wet","Quercus bicolor or Malus fusca",IF(H82="Riparian","Natives only: Malus fusca, Salix, Q. garryana on edges",IF(H82="Upland","Quercus garryana or Q. macrocarpa","Set site type"))))</f>
        <v/>
      </c>
      <c r="L82" s="54" t="str">
        <f aca="false">IF(N(D82)=0,"",D82*'Ash EAB'!$B$11)</f>
        <v/>
      </c>
      <c r="M82" s="54" t="str">
        <f aca="false">IF(N(D82)=0,"",L82*ROUNDUP('Ash EAB'!$B$17/'Ash EAB'!$B$12,0))</f>
        <v/>
      </c>
      <c r="N82" s="54" t="str">
        <f aca="false">IF(N(D82)=0,"",D82*'Ash EAB'!$B$13+'Ash EAB'!$B$15)</f>
        <v/>
      </c>
      <c r="O82" s="54" t="str">
        <f aca="false">IF(N(D82)=0,"",D82*'Ash EAB'!$B$13*'Ash EAB'!$B$14+'Ash EAB'!$B$15)</f>
        <v/>
      </c>
      <c r="P82" s="47" t="str">
        <f aca="false">IF(N(D82)=0,"",IF(M82&lt;N82,"Treat","Replace"))</f>
        <v/>
      </c>
      <c r="Q82" s="43"/>
      <c r="R82" s="37"/>
      <c r="S82" s="37" t="str">
        <f aca="false">IF(R82="","",EDATE(R82,ROUND('Ash EAB'!$B$12*12,0)))</f>
        <v/>
      </c>
      <c r="T82" s="47"/>
      <c r="U82" s="12"/>
    </row>
    <row r="83" customFormat="false" ht="15" hidden="false" customHeight="true" outlineLevel="0" collapsed="false">
      <c r="A83" s="43"/>
      <c r="B83" s="81"/>
      <c r="C83" s="12"/>
      <c r="D83" s="42"/>
      <c r="E83" s="85"/>
      <c r="F83" s="47"/>
      <c r="G83" s="47"/>
      <c r="H83" s="47"/>
      <c r="I83" s="47"/>
      <c r="J83" s="12" t="str">
        <f aca="false">IF(N(D83)=0,"",IF(N(E83)&gt;0.5,IF(I83="Y","REMOVE NOW: target at risk","REMOVE NOW"),IF(N(E83)&gt;=0.3,"GRAY ZONE: assess structure",IF(G83="High","TREAT",IF(F83="Y","REMOVE AND REPLACE","PLANT FIRST, REMOVE LATER")))))</f>
        <v/>
      </c>
      <c r="K83" s="12" t="str">
        <f aca="false">IF(N(D83)=0,"",IF(J83="TREAT","Successor if space: ","")&amp;IF(H83="Wet","Quercus bicolor or Malus fusca",IF(H83="Riparian","Natives only: Malus fusca, Salix, Q. garryana on edges",IF(H83="Upland","Quercus garryana or Q. macrocarpa","Set site type"))))</f>
        <v/>
      </c>
      <c r="L83" s="54" t="str">
        <f aca="false">IF(N(D83)=0,"",D83*'Ash EAB'!$B$11)</f>
        <v/>
      </c>
      <c r="M83" s="54" t="str">
        <f aca="false">IF(N(D83)=0,"",L83*ROUNDUP('Ash EAB'!$B$17/'Ash EAB'!$B$12,0))</f>
        <v/>
      </c>
      <c r="N83" s="54" t="str">
        <f aca="false">IF(N(D83)=0,"",D83*'Ash EAB'!$B$13+'Ash EAB'!$B$15)</f>
        <v/>
      </c>
      <c r="O83" s="54" t="str">
        <f aca="false">IF(N(D83)=0,"",D83*'Ash EAB'!$B$13*'Ash EAB'!$B$14+'Ash EAB'!$B$15)</f>
        <v/>
      </c>
      <c r="P83" s="47" t="str">
        <f aca="false">IF(N(D83)=0,"",IF(M83&lt;N83,"Treat","Replace"))</f>
        <v/>
      </c>
      <c r="Q83" s="43"/>
      <c r="R83" s="37"/>
      <c r="S83" s="37" t="str">
        <f aca="false">IF(R83="","",EDATE(R83,ROUND('Ash EAB'!$B$12*12,0)))</f>
        <v/>
      </c>
      <c r="T83" s="47"/>
      <c r="U83" s="12"/>
    </row>
    <row r="84" customFormat="false" ht="15" hidden="false" customHeight="true" outlineLevel="0" collapsed="false">
      <c r="A84" s="43"/>
      <c r="B84" s="81"/>
      <c r="C84" s="12"/>
      <c r="D84" s="42"/>
      <c r="E84" s="85"/>
      <c r="F84" s="47"/>
      <c r="G84" s="47"/>
      <c r="H84" s="47"/>
      <c r="I84" s="47"/>
      <c r="J84" s="12" t="str">
        <f aca="false">IF(N(D84)=0,"",IF(N(E84)&gt;0.5,IF(I84="Y","REMOVE NOW: target at risk","REMOVE NOW"),IF(N(E84)&gt;=0.3,"GRAY ZONE: assess structure",IF(G84="High","TREAT",IF(F84="Y","REMOVE AND REPLACE","PLANT FIRST, REMOVE LATER")))))</f>
        <v/>
      </c>
      <c r="K84" s="12" t="str">
        <f aca="false">IF(N(D84)=0,"",IF(J84="TREAT","Successor if space: ","")&amp;IF(H84="Wet","Quercus bicolor or Malus fusca",IF(H84="Riparian","Natives only: Malus fusca, Salix, Q. garryana on edges",IF(H84="Upland","Quercus garryana or Q. macrocarpa","Set site type"))))</f>
        <v/>
      </c>
      <c r="L84" s="54" t="str">
        <f aca="false">IF(N(D84)=0,"",D84*'Ash EAB'!$B$11)</f>
        <v/>
      </c>
      <c r="M84" s="54" t="str">
        <f aca="false">IF(N(D84)=0,"",L84*ROUNDUP('Ash EAB'!$B$17/'Ash EAB'!$B$12,0))</f>
        <v/>
      </c>
      <c r="N84" s="54" t="str">
        <f aca="false">IF(N(D84)=0,"",D84*'Ash EAB'!$B$13+'Ash EAB'!$B$15)</f>
        <v/>
      </c>
      <c r="O84" s="54" t="str">
        <f aca="false">IF(N(D84)=0,"",D84*'Ash EAB'!$B$13*'Ash EAB'!$B$14+'Ash EAB'!$B$15)</f>
        <v/>
      </c>
      <c r="P84" s="47" t="str">
        <f aca="false">IF(N(D84)=0,"",IF(M84&lt;N84,"Treat","Replace"))</f>
        <v/>
      </c>
      <c r="Q84" s="43"/>
      <c r="R84" s="37"/>
      <c r="S84" s="37" t="str">
        <f aca="false">IF(R84="","",EDATE(R84,ROUND('Ash EAB'!$B$12*12,0)))</f>
        <v/>
      </c>
      <c r="T84" s="47"/>
      <c r="U84" s="12"/>
    </row>
    <row r="85" customFormat="false" ht="15" hidden="false" customHeight="true" outlineLevel="0" collapsed="false">
      <c r="A85" s="43"/>
      <c r="B85" s="81"/>
      <c r="C85" s="12"/>
      <c r="D85" s="42"/>
      <c r="E85" s="85"/>
      <c r="F85" s="47"/>
      <c r="G85" s="47"/>
      <c r="H85" s="47"/>
      <c r="I85" s="47"/>
      <c r="J85" s="12" t="str">
        <f aca="false">IF(N(D85)=0,"",IF(N(E85)&gt;0.5,IF(I85="Y","REMOVE NOW: target at risk","REMOVE NOW"),IF(N(E85)&gt;=0.3,"GRAY ZONE: assess structure",IF(G85="High","TREAT",IF(F85="Y","REMOVE AND REPLACE","PLANT FIRST, REMOVE LATER")))))</f>
        <v/>
      </c>
      <c r="K85" s="12" t="str">
        <f aca="false">IF(N(D85)=0,"",IF(J85="TREAT","Successor if space: ","")&amp;IF(H85="Wet","Quercus bicolor or Malus fusca",IF(H85="Riparian","Natives only: Malus fusca, Salix, Q. garryana on edges",IF(H85="Upland","Quercus garryana or Q. macrocarpa","Set site type"))))</f>
        <v/>
      </c>
      <c r="L85" s="54" t="str">
        <f aca="false">IF(N(D85)=0,"",D85*'Ash EAB'!$B$11)</f>
        <v/>
      </c>
      <c r="M85" s="54" t="str">
        <f aca="false">IF(N(D85)=0,"",L85*ROUNDUP('Ash EAB'!$B$17/'Ash EAB'!$B$12,0))</f>
        <v/>
      </c>
      <c r="N85" s="54" t="str">
        <f aca="false">IF(N(D85)=0,"",D85*'Ash EAB'!$B$13+'Ash EAB'!$B$15)</f>
        <v/>
      </c>
      <c r="O85" s="54" t="str">
        <f aca="false">IF(N(D85)=0,"",D85*'Ash EAB'!$B$13*'Ash EAB'!$B$14+'Ash EAB'!$B$15)</f>
        <v/>
      </c>
      <c r="P85" s="47" t="str">
        <f aca="false">IF(N(D85)=0,"",IF(M85&lt;N85,"Treat","Replace"))</f>
        <v/>
      </c>
      <c r="Q85" s="43"/>
      <c r="R85" s="37"/>
      <c r="S85" s="37" t="str">
        <f aca="false">IF(R85="","",EDATE(R85,ROUND('Ash EAB'!$B$12*12,0)))</f>
        <v/>
      </c>
      <c r="T85" s="47"/>
      <c r="U85" s="12"/>
    </row>
    <row r="86" customFormat="false" ht="15" hidden="false" customHeight="true" outlineLevel="0" collapsed="false">
      <c r="A86" s="43"/>
      <c r="B86" s="81"/>
      <c r="C86" s="12"/>
      <c r="D86" s="42"/>
      <c r="E86" s="85"/>
      <c r="F86" s="47"/>
      <c r="G86" s="47"/>
      <c r="H86" s="47"/>
      <c r="I86" s="47"/>
      <c r="J86" s="12" t="str">
        <f aca="false">IF(N(D86)=0,"",IF(N(E86)&gt;0.5,IF(I86="Y","REMOVE NOW: target at risk","REMOVE NOW"),IF(N(E86)&gt;=0.3,"GRAY ZONE: assess structure",IF(G86="High","TREAT",IF(F86="Y","REMOVE AND REPLACE","PLANT FIRST, REMOVE LATER")))))</f>
        <v/>
      </c>
      <c r="K86" s="12" t="str">
        <f aca="false">IF(N(D86)=0,"",IF(J86="TREAT","Successor if space: ","")&amp;IF(H86="Wet","Quercus bicolor or Malus fusca",IF(H86="Riparian","Natives only: Malus fusca, Salix, Q. garryana on edges",IF(H86="Upland","Quercus garryana or Q. macrocarpa","Set site type"))))</f>
        <v/>
      </c>
      <c r="L86" s="54" t="str">
        <f aca="false">IF(N(D86)=0,"",D86*'Ash EAB'!$B$11)</f>
        <v/>
      </c>
      <c r="M86" s="54" t="str">
        <f aca="false">IF(N(D86)=0,"",L86*ROUNDUP('Ash EAB'!$B$17/'Ash EAB'!$B$12,0))</f>
        <v/>
      </c>
      <c r="N86" s="54" t="str">
        <f aca="false">IF(N(D86)=0,"",D86*'Ash EAB'!$B$13+'Ash EAB'!$B$15)</f>
        <v/>
      </c>
      <c r="O86" s="54" t="str">
        <f aca="false">IF(N(D86)=0,"",D86*'Ash EAB'!$B$13*'Ash EAB'!$B$14+'Ash EAB'!$B$15)</f>
        <v/>
      </c>
      <c r="P86" s="47" t="str">
        <f aca="false">IF(N(D86)=0,"",IF(M86&lt;N86,"Treat","Replace"))</f>
        <v/>
      </c>
      <c r="Q86" s="43"/>
      <c r="R86" s="37"/>
      <c r="S86" s="37" t="str">
        <f aca="false">IF(R86="","",EDATE(R86,ROUND('Ash EAB'!$B$12*12,0)))</f>
        <v/>
      </c>
      <c r="T86" s="47"/>
      <c r="U86" s="12"/>
    </row>
    <row r="87" customFormat="false" ht="15" hidden="false" customHeight="true" outlineLevel="0" collapsed="false">
      <c r="A87" s="43"/>
      <c r="B87" s="81"/>
      <c r="C87" s="12"/>
      <c r="D87" s="42"/>
      <c r="E87" s="85"/>
      <c r="F87" s="47"/>
      <c r="G87" s="47"/>
      <c r="H87" s="47"/>
      <c r="I87" s="47"/>
      <c r="J87" s="12" t="str">
        <f aca="false">IF(N(D87)=0,"",IF(N(E87)&gt;0.5,IF(I87="Y","REMOVE NOW: target at risk","REMOVE NOW"),IF(N(E87)&gt;=0.3,"GRAY ZONE: assess structure",IF(G87="High","TREAT",IF(F87="Y","REMOVE AND REPLACE","PLANT FIRST, REMOVE LATER")))))</f>
        <v/>
      </c>
      <c r="K87" s="12" t="str">
        <f aca="false">IF(N(D87)=0,"",IF(J87="TREAT","Successor if space: ","")&amp;IF(H87="Wet","Quercus bicolor or Malus fusca",IF(H87="Riparian","Natives only: Malus fusca, Salix, Q. garryana on edges",IF(H87="Upland","Quercus garryana or Q. macrocarpa","Set site type"))))</f>
        <v/>
      </c>
      <c r="L87" s="54" t="str">
        <f aca="false">IF(N(D87)=0,"",D87*'Ash EAB'!$B$11)</f>
        <v/>
      </c>
      <c r="M87" s="54" t="str">
        <f aca="false">IF(N(D87)=0,"",L87*ROUNDUP('Ash EAB'!$B$17/'Ash EAB'!$B$12,0))</f>
        <v/>
      </c>
      <c r="N87" s="54" t="str">
        <f aca="false">IF(N(D87)=0,"",D87*'Ash EAB'!$B$13+'Ash EAB'!$B$15)</f>
        <v/>
      </c>
      <c r="O87" s="54" t="str">
        <f aca="false">IF(N(D87)=0,"",D87*'Ash EAB'!$B$13*'Ash EAB'!$B$14+'Ash EAB'!$B$15)</f>
        <v/>
      </c>
      <c r="P87" s="47" t="str">
        <f aca="false">IF(N(D87)=0,"",IF(M87&lt;N87,"Treat","Replace"))</f>
        <v/>
      </c>
      <c r="Q87" s="43"/>
      <c r="R87" s="37"/>
      <c r="S87" s="37" t="str">
        <f aca="false">IF(R87="","",EDATE(R87,ROUND('Ash EAB'!$B$12*12,0)))</f>
        <v/>
      </c>
      <c r="T87" s="47"/>
      <c r="U87" s="12"/>
    </row>
    <row r="88" customFormat="false" ht="15" hidden="false" customHeight="true" outlineLevel="0" collapsed="false">
      <c r="A88" s="43"/>
      <c r="B88" s="81"/>
      <c r="C88" s="12"/>
      <c r="D88" s="42"/>
      <c r="E88" s="85"/>
      <c r="F88" s="47"/>
      <c r="G88" s="47"/>
      <c r="H88" s="47"/>
      <c r="I88" s="47"/>
      <c r="J88" s="12" t="str">
        <f aca="false">IF(N(D88)=0,"",IF(N(E88)&gt;0.5,IF(I88="Y","REMOVE NOW: target at risk","REMOVE NOW"),IF(N(E88)&gt;=0.3,"GRAY ZONE: assess structure",IF(G88="High","TREAT",IF(F88="Y","REMOVE AND REPLACE","PLANT FIRST, REMOVE LATER")))))</f>
        <v/>
      </c>
      <c r="K88" s="12" t="str">
        <f aca="false">IF(N(D88)=0,"",IF(J88="TREAT","Successor if space: ","")&amp;IF(H88="Wet","Quercus bicolor or Malus fusca",IF(H88="Riparian","Natives only: Malus fusca, Salix, Q. garryana on edges",IF(H88="Upland","Quercus garryana or Q. macrocarpa","Set site type"))))</f>
        <v/>
      </c>
      <c r="L88" s="54" t="str">
        <f aca="false">IF(N(D88)=0,"",D88*'Ash EAB'!$B$11)</f>
        <v/>
      </c>
      <c r="M88" s="54" t="str">
        <f aca="false">IF(N(D88)=0,"",L88*ROUNDUP('Ash EAB'!$B$17/'Ash EAB'!$B$12,0))</f>
        <v/>
      </c>
      <c r="N88" s="54" t="str">
        <f aca="false">IF(N(D88)=0,"",D88*'Ash EAB'!$B$13+'Ash EAB'!$B$15)</f>
        <v/>
      </c>
      <c r="O88" s="54" t="str">
        <f aca="false">IF(N(D88)=0,"",D88*'Ash EAB'!$B$13*'Ash EAB'!$B$14+'Ash EAB'!$B$15)</f>
        <v/>
      </c>
      <c r="P88" s="47" t="str">
        <f aca="false">IF(N(D88)=0,"",IF(M88&lt;N88,"Treat","Replace"))</f>
        <v/>
      </c>
      <c r="Q88" s="43"/>
      <c r="R88" s="37"/>
      <c r="S88" s="37" t="str">
        <f aca="false">IF(R88="","",EDATE(R88,ROUND('Ash EAB'!$B$12*12,0)))</f>
        <v/>
      </c>
      <c r="T88" s="47"/>
      <c r="U88" s="12"/>
    </row>
    <row r="89" customFormat="false" ht="15" hidden="false" customHeight="true" outlineLevel="0" collapsed="false">
      <c r="A89" s="43"/>
      <c r="B89" s="81"/>
      <c r="C89" s="12"/>
      <c r="D89" s="42"/>
      <c r="E89" s="85"/>
      <c r="F89" s="47"/>
      <c r="G89" s="47"/>
      <c r="H89" s="47"/>
      <c r="I89" s="47"/>
      <c r="J89" s="12" t="str">
        <f aca="false">IF(N(D89)=0,"",IF(N(E89)&gt;0.5,IF(I89="Y","REMOVE NOW: target at risk","REMOVE NOW"),IF(N(E89)&gt;=0.3,"GRAY ZONE: assess structure",IF(G89="High","TREAT",IF(F89="Y","REMOVE AND REPLACE","PLANT FIRST, REMOVE LATER")))))</f>
        <v/>
      </c>
      <c r="K89" s="12" t="str">
        <f aca="false">IF(N(D89)=0,"",IF(J89="TREAT","Successor if space: ","")&amp;IF(H89="Wet","Quercus bicolor or Malus fusca",IF(H89="Riparian","Natives only: Malus fusca, Salix, Q. garryana on edges",IF(H89="Upland","Quercus garryana or Q. macrocarpa","Set site type"))))</f>
        <v/>
      </c>
      <c r="L89" s="54" t="str">
        <f aca="false">IF(N(D89)=0,"",D89*'Ash EAB'!$B$11)</f>
        <v/>
      </c>
      <c r="M89" s="54" t="str">
        <f aca="false">IF(N(D89)=0,"",L89*ROUNDUP('Ash EAB'!$B$17/'Ash EAB'!$B$12,0))</f>
        <v/>
      </c>
      <c r="N89" s="54" t="str">
        <f aca="false">IF(N(D89)=0,"",D89*'Ash EAB'!$B$13+'Ash EAB'!$B$15)</f>
        <v/>
      </c>
      <c r="O89" s="54" t="str">
        <f aca="false">IF(N(D89)=0,"",D89*'Ash EAB'!$B$13*'Ash EAB'!$B$14+'Ash EAB'!$B$15)</f>
        <v/>
      </c>
      <c r="P89" s="47" t="str">
        <f aca="false">IF(N(D89)=0,"",IF(M89&lt;N89,"Treat","Replace"))</f>
        <v/>
      </c>
      <c r="Q89" s="43"/>
      <c r="R89" s="37"/>
      <c r="S89" s="37" t="str">
        <f aca="false">IF(R89="","",EDATE(R89,ROUND('Ash EAB'!$B$12*12,0)))</f>
        <v/>
      </c>
      <c r="T89" s="47"/>
      <c r="U89" s="12"/>
    </row>
    <row r="90" customFormat="false" ht="15" hidden="false" customHeight="true" outlineLevel="0" collapsed="false">
      <c r="A90" s="43"/>
      <c r="B90" s="81"/>
      <c r="C90" s="12"/>
      <c r="D90" s="42"/>
      <c r="E90" s="85"/>
      <c r="F90" s="47"/>
      <c r="G90" s="47"/>
      <c r="H90" s="47"/>
      <c r="I90" s="47"/>
      <c r="J90" s="12" t="str">
        <f aca="false">IF(N(D90)=0,"",IF(N(E90)&gt;0.5,IF(I90="Y","REMOVE NOW: target at risk","REMOVE NOW"),IF(N(E90)&gt;=0.3,"GRAY ZONE: assess structure",IF(G90="High","TREAT",IF(F90="Y","REMOVE AND REPLACE","PLANT FIRST, REMOVE LATER")))))</f>
        <v/>
      </c>
      <c r="K90" s="12" t="str">
        <f aca="false">IF(N(D90)=0,"",IF(J90="TREAT","Successor if space: ","")&amp;IF(H90="Wet","Quercus bicolor or Malus fusca",IF(H90="Riparian","Natives only: Malus fusca, Salix, Q. garryana on edges",IF(H90="Upland","Quercus garryana or Q. macrocarpa","Set site type"))))</f>
        <v/>
      </c>
      <c r="L90" s="54" t="str">
        <f aca="false">IF(N(D90)=0,"",D90*'Ash EAB'!$B$11)</f>
        <v/>
      </c>
      <c r="M90" s="54" t="str">
        <f aca="false">IF(N(D90)=0,"",L90*ROUNDUP('Ash EAB'!$B$17/'Ash EAB'!$B$12,0))</f>
        <v/>
      </c>
      <c r="N90" s="54" t="str">
        <f aca="false">IF(N(D90)=0,"",D90*'Ash EAB'!$B$13+'Ash EAB'!$B$15)</f>
        <v/>
      </c>
      <c r="O90" s="54" t="str">
        <f aca="false">IF(N(D90)=0,"",D90*'Ash EAB'!$B$13*'Ash EAB'!$B$14+'Ash EAB'!$B$15)</f>
        <v/>
      </c>
      <c r="P90" s="47" t="str">
        <f aca="false">IF(N(D90)=0,"",IF(M90&lt;N90,"Treat","Replace"))</f>
        <v/>
      </c>
      <c r="Q90" s="43"/>
      <c r="R90" s="37"/>
      <c r="S90" s="37" t="str">
        <f aca="false">IF(R90="","",EDATE(R90,ROUND('Ash EAB'!$B$12*12,0)))</f>
        <v/>
      </c>
      <c r="T90" s="47"/>
      <c r="U90" s="12"/>
    </row>
    <row r="91" customFormat="false" ht="15" hidden="false" customHeight="true" outlineLevel="0" collapsed="false">
      <c r="A91" s="43"/>
      <c r="B91" s="81"/>
      <c r="C91" s="12"/>
      <c r="D91" s="42"/>
      <c r="E91" s="85"/>
      <c r="F91" s="47"/>
      <c r="G91" s="47"/>
      <c r="H91" s="47"/>
      <c r="I91" s="47"/>
      <c r="J91" s="12" t="str">
        <f aca="false">IF(N(D91)=0,"",IF(N(E91)&gt;0.5,IF(I91="Y","REMOVE NOW: target at risk","REMOVE NOW"),IF(N(E91)&gt;=0.3,"GRAY ZONE: assess structure",IF(G91="High","TREAT",IF(F91="Y","REMOVE AND REPLACE","PLANT FIRST, REMOVE LATER")))))</f>
        <v/>
      </c>
      <c r="K91" s="12" t="str">
        <f aca="false">IF(N(D91)=0,"",IF(J91="TREAT","Successor if space: ","")&amp;IF(H91="Wet","Quercus bicolor or Malus fusca",IF(H91="Riparian","Natives only: Malus fusca, Salix, Q. garryana on edges",IF(H91="Upland","Quercus garryana or Q. macrocarpa","Set site type"))))</f>
        <v/>
      </c>
      <c r="L91" s="54" t="str">
        <f aca="false">IF(N(D91)=0,"",D91*'Ash EAB'!$B$11)</f>
        <v/>
      </c>
      <c r="M91" s="54" t="str">
        <f aca="false">IF(N(D91)=0,"",L91*ROUNDUP('Ash EAB'!$B$17/'Ash EAB'!$B$12,0))</f>
        <v/>
      </c>
      <c r="N91" s="54" t="str">
        <f aca="false">IF(N(D91)=0,"",D91*'Ash EAB'!$B$13+'Ash EAB'!$B$15)</f>
        <v/>
      </c>
      <c r="O91" s="54" t="str">
        <f aca="false">IF(N(D91)=0,"",D91*'Ash EAB'!$B$13*'Ash EAB'!$B$14+'Ash EAB'!$B$15)</f>
        <v/>
      </c>
      <c r="P91" s="47" t="str">
        <f aca="false">IF(N(D91)=0,"",IF(M91&lt;N91,"Treat","Replace"))</f>
        <v/>
      </c>
      <c r="Q91" s="43"/>
      <c r="R91" s="37"/>
      <c r="S91" s="37" t="str">
        <f aca="false">IF(R91="","",EDATE(R91,ROUND('Ash EAB'!$B$12*12,0)))</f>
        <v/>
      </c>
      <c r="T91" s="47"/>
      <c r="U91" s="12"/>
    </row>
    <row r="92" customFormat="false" ht="15" hidden="false" customHeight="true" outlineLevel="0" collapsed="false">
      <c r="A92" s="43"/>
      <c r="B92" s="81"/>
      <c r="C92" s="12"/>
      <c r="D92" s="42"/>
      <c r="E92" s="85"/>
      <c r="F92" s="47"/>
      <c r="G92" s="47"/>
      <c r="H92" s="47"/>
      <c r="I92" s="47"/>
      <c r="J92" s="12" t="str">
        <f aca="false">IF(N(D92)=0,"",IF(N(E92)&gt;0.5,IF(I92="Y","REMOVE NOW: target at risk","REMOVE NOW"),IF(N(E92)&gt;=0.3,"GRAY ZONE: assess structure",IF(G92="High","TREAT",IF(F92="Y","REMOVE AND REPLACE","PLANT FIRST, REMOVE LATER")))))</f>
        <v/>
      </c>
      <c r="K92" s="12" t="str">
        <f aca="false">IF(N(D92)=0,"",IF(J92="TREAT","Successor if space: ","")&amp;IF(H92="Wet","Quercus bicolor or Malus fusca",IF(H92="Riparian","Natives only: Malus fusca, Salix, Q. garryana on edges",IF(H92="Upland","Quercus garryana or Q. macrocarpa","Set site type"))))</f>
        <v/>
      </c>
      <c r="L92" s="54" t="str">
        <f aca="false">IF(N(D92)=0,"",D92*'Ash EAB'!$B$11)</f>
        <v/>
      </c>
      <c r="M92" s="54" t="str">
        <f aca="false">IF(N(D92)=0,"",L92*ROUNDUP('Ash EAB'!$B$17/'Ash EAB'!$B$12,0))</f>
        <v/>
      </c>
      <c r="N92" s="54" t="str">
        <f aca="false">IF(N(D92)=0,"",D92*'Ash EAB'!$B$13+'Ash EAB'!$B$15)</f>
        <v/>
      </c>
      <c r="O92" s="54" t="str">
        <f aca="false">IF(N(D92)=0,"",D92*'Ash EAB'!$B$13*'Ash EAB'!$B$14+'Ash EAB'!$B$15)</f>
        <v/>
      </c>
      <c r="P92" s="47" t="str">
        <f aca="false">IF(N(D92)=0,"",IF(M92&lt;N92,"Treat","Replace"))</f>
        <v/>
      </c>
      <c r="Q92" s="43"/>
      <c r="R92" s="37"/>
      <c r="S92" s="37" t="str">
        <f aca="false">IF(R92="","",EDATE(R92,ROUND('Ash EAB'!$B$12*12,0)))</f>
        <v/>
      </c>
      <c r="T92" s="47"/>
      <c r="U92" s="12"/>
    </row>
    <row r="93" customFormat="false" ht="15" hidden="false" customHeight="true" outlineLevel="0" collapsed="false">
      <c r="A93" s="43"/>
      <c r="B93" s="81"/>
      <c r="C93" s="12"/>
      <c r="D93" s="42"/>
      <c r="E93" s="85"/>
      <c r="F93" s="47"/>
      <c r="G93" s="47"/>
      <c r="H93" s="47"/>
      <c r="I93" s="47"/>
      <c r="J93" s="12" t="str">
        <f aca="false">IF(N(D93)=0,"",IF(N(E93)&gt;0.5,IF(I93="Y","REMOVE NOW: target at risk","REMOVE NOW"),IF(N(E93)&gt;=0.3,"GRAY ZONE: assess structure",IF(G93="High","TREAT",IF(F93="Y","REMOVE AND REPLACE","PLANT FIRST, REMOVE LATER")))))</f>
        <v/>
      </c>
      <c r="K93" s="12" t="str">
        <f aca="false">IF(N(D93)=0,"",IF(J93="TREAT","Successor if space: ","")&amp;IF(H93="Wet","Quercus bicolor or Malus fusca",IF(H93="Riparian","Natives only: Malus fusca, Salix, Q. garryana on edges",IF(H93="Upland","Quercus garryana or Q. macrocarpa","Set site type"))))</f>
        <v/>
      </c>
      <c r="L93" s="54" t="str">
        <f aca="false">IF(N(D93)=0,"",D93*'Ash EAB'!$B$11)</f>
        <v/>
      </c>
      <c r="M93" s="54" t="str">
        <f aca="false">IF(N(D93)=0,"",L93*ROUNDUP('Ash EAB'!$B$17/'Ash EAB'!$B$12,0))</f>
        <v/>
      </c>
      <c r="N93" s="54" t="str">
        <f aca="false">IF(N(D93)=0,"",D93*'Ash EAB'!$B$13+'Ash EAB'!$B$15)</f>
        <v/>
      </c>
      <c r="O93" s="54" t="str">
        <f aca="false">IF(N(D93)=0,"",D93*'Ash EAB'!$B$13*'Ash EAB'!$B$14+'Ash EAB'!$B$15)</f>
        <v/>
      </c>
      <c r="P93" s="47" t="str">
        <f aca="false">IF(N(D93)=0,"",IF(M93&lt;N93,"Treat","Replace"))</f>
        <v/>
      </c>
      <c r="Q93" s="43"/>
      <c r="R93" s="37"/>
      <c r="S93" s="37" t="str">
        <f aca="false">IF(R93="","",EDATE(R93,ROUND('Ash EAB'!$B$12*12,0)))</f>
        <v/>
      </c>
      <c r="T93" s="47"/>
      <c r="U93" s="12"/>
    </row>
    <row r="94" customFormat="false" ht="15" hidden="false" customHeight="true" outlineLevel="0" collapsed="false">
      <c r="A94" s="43"/>
      <c r="B94" s="81"/>
      <c r="C94" s="12"/>
      <c r="D94" s="42"/>
      <c r="E94" s="85"/>
      <c r="F94" s="47"/>
      <c r="G94" s="47"/>
      <c r="H94" s="47"/>
      <c r="I94" s="47"/>
      <c r="J94" s="12" t="str">
        <f aca="false">IF(N(D94)=0,"",IF(N(E94)&gt;0.5,IF(I94="Y","REMOVE NOW: target at risk","REMOVE NOW"),IF(N(E94)&gt;=0.3,"GRAY ZONE: assess structure",IF(G94="High","TREAT",IF(F94="Y","REMOVE AND REPLACE","PLANT FIRST, REMOVE LATER")))))</f>
        <v/>
      </c>
      <c r="K94" s="12" t="str">
        <f aca="false">IF(N(D94)=0,"",IF(J94="TREAT","Successor if space: ","")&amp;IF(H94="Wet","Quercus bicolor or Malus fusca",IF(H94="Riparian","Natives only: Malus fusca, Salix, Q. garryana on edges",IF(H94="Upland","Quercus garryana or Q. macrocarpa","Set site type"))))</f>
        <v/>
      </c>
      <c r="L94" s="54" t="str">
        <f aca="false">IF(N(D94)=0,"",D94*'Ash EAB'!$B$11)</f>
        <v/>
      </c>
      <c r="M94" s="54" t="str">
        <f aca="false">IF(N(D94)=0,"",L94*ROUNDUP('Ash EAB'!$B$17/'Ash EAB'!$B$12,0))</f>
        <v/>
      </c>
      <c r="N94" s="54" t="str">
        <f aca="false">IF(N(D94)=0,"",D94*'Ash EAB'!$B$13+'Ash EAB'!$B$15)</f>
        <v/>
      </c>
      <c r="O94" s="54" t="str">
        <f aca="false">IF(N(D94)=0,"",D94*'Ash EAB'!$B$13*'Ash EAB'!$B$14+'Ash EAB'!$B$15)</f>
        <v/>
      </c>
      <c r="P94" s="47" t="str">
        <f aca="false">IF(N(D94)=0,"",IF(M94&lt;N94,"Treat","Replace"))</f>
        <v/>
      </c>
      <c r="Q94" s="43"/>
      <c r="R94" s="37"/>
      <c r="S94" s="37" t="str">
        <f aca="false">IF(R94="","",EDATE(R94,ROUND('Ash EAB'!$B$12*12,0)))</f>
        <v/>
      </c>
      <c r="T94" s="47"/>
      <c r="U94" s="12"/>
    </row>
    <row r="95" customFormat="false" ht="15" hidden="false" customHeight="true" outlineLevel="0" collapsed="false">
      <c r="A95" s="43"/>
      <c r="B95" s="81"/>
      <c r="C95" s="12"/>
      <c r="D95" s="42"/>
      <c r="E95" s="85"/>
      <c r="F95" s="47"/>
      <c r="G95" s="47"/>
      <c r="H95" s="47"/>
      <c r="I95" s="47"/>
      <c r="J95" s="12" t="str">
        <f aca="false">IF(N(D95)=0,"",IF(N(E95)&gt;0.5,IF(I95="Y","REMOVE NOW: target at risk","REMOVE NOW"),IF(N(E95)&gt;=0.3,"GRAY ZONE: assess structure",IF(G95="High","TREAT",IF(F95="Y","REMOVE AND REPLACE","PLANT FIRST, REMOVE LATER")))))</f>
        <v/>
      </c>
      <c r="K95" s="12" t="str">
        <f aca="false">IF(N(D95)=0,"",IF(J95="TREAT","Successor if space: ","")&amp;IF(H95="Wet","Quercus bicolor or Malus fusca",IF(H95="Riparian","Natives only: Malus fusca, Salix, Q. garryana on edges",IF(H95="Upland","Quercus garryana or Q. macrocarpa","Set site type"))))</f>
        <v/>
      </c>
      <c r="L95" s="54" t="str">
        <f aca="false">IF(N(D95)=0,"",D95*'Ash EAB'!$B$11)</f>
        <v/>
      </c>
      <c r="M95" s="54" t="str">
        <f aca="false">IF(N(D95)=0,"",L95*ROUNDUP('Ash EAB'!$B$17/'Ash EAB'!$B$12,0))</f>
        <v/>
      </c>
      <c r="N95" s="54" t="str">
        <f aca="false">IF(N(D95)=0,"",D95*'Ash EAB'!$B$13+'Ash EAB'!$B$15)</f>
        <v/>
      </c>
      <c r="O95" s="54" t="str">
        <f aca="false">IF(N(D95)=0,"",D95*'Ash EAB'!$B$13*'Ash EAB'!$B$14+'Ash EAB'!$B$15)</f>
        <v/>
      </c>
      <c r="P95" s="47" t="str">
        <f aca="false">IF(N(D95)=0,"",IF(M95&lt;N95,"Treat","Replace"))</f>
        <v/>
      </c>
      <c r="Q95" s="43"/>
      <c r="R95" s="37"/>
      <c r="S95" s="37" t="str">
        <f aca="false">IF(R95="","",EDATE(R95,ROUND('Ash EAB'!$B$12*12,0)))</f>
        <v/>
      </c>
      <c r="T95" s="47"/>
      <c r="U95" s="12"/>
    </row>
    <row r="96" customFormat="false" ht="15" hidden="false" customHeight="true" outlineLevel="0" collapsed="false">
      <c r="A96" s="43"/>
      <c r="B96" s="81"/>
      <c r="C96" s="12"/>
      <c r="D96" s="42"/>
      <c r="E96" s="85"/>
      <c r="F96" s="47"/>
      <c r="G96" s="47"/>
      <c r="H96" s="47"/>
      <c r="I96" s="47"/>
      <c r="J96" s="12" t="str">
        <f aca="false">IF(N(D96)=0,"",IF(N(E96)&gt;0.5,IF(I96="Y","REMOVE NOW: target at risk","REMOVE NOW"),IF(N(E96)&gt;=0.3,"GRAY ZONE: assess structure",IF(G96="High","TREAT",IF(F96="Y","REMOVE AND REPLACE","PLANT FIRST, REMOVE LATER")))))</f>
        <v/>
      </c>
      <c r="K96" s="12" t="str">
        <f aca="false">IF(N(D96)=0,"",IF(J96="TREAT","Successor if space: ","")&amp;IF(H96="Wet","Quercus bicolor or Malus fusca",IF(H96="Riparian","Natives only: Malus fusca, Salix, Q. garryana on edges",IF(H96="Upland","Quercus garryana or Q. macrocarpa","Set site type"))))</f>
        <v/>
      </c>
      <c r="L96" s="54" t="str">
        <f aca="false">IF(N(D96)=0,"",D96*'Ash EAB'!$B$11)</f>
        <v/>
      </c>
      <c r="M96" s="54" t="str">
        <f aca="false">IF(N(D96)=0,"",L96*ROUNDUP('Ash EAB'!$B$17/'Ash EAB'!$B$12,0))</f>
        <v/>
      </c>
      <c r="N96" s="54" t="str">
        <f aca="false">IF(N(D96)=0,"",D96*'Ash EAB'!$B$13+'Ash EAB'!$B$15)</f>
        <v/>
      </c>
      <c r="O96" s="54" t="str">
        <f aca="false">IF(N(D96)=0,"",D96*'Ash EAB'!$B$13*'Ash EAB'!$B$14+'Ash EAB'!$B$15)</f>
        <v/>
      </c>
      <c r="P96" s="47" t="str">
        <f aca="false">IF(N(D96)=0,"",IF(M96&lt;N96,"Treat","Replace"))</f>
        <v/>
      </c>
      <c r="Q96" s="43"/>
      <c r="R96" s="37"/>
      <c r="S96" s="37" t="str">
        <f aca="false">IF(R96="","",EDATE(R96,ROUND('Ash EAB'!$B$12*12,0)))</f>
        <v/>
      </c>
      <c r="T96" s="47"/>
      <c r="U96" s="12"/>
    </row>
    <row r="97" customFormat="false" ht="15" hidden="false" customHeight="true" outlineLevel="0" collapsed="false">
      <c r="A97" s="43"/>
      <c r="B97" s="81"/>
      <c r="C97" s="12"/>
      <c r="D97" s="42"/>
      <c r="E97" s="85"/>
      <c r="F97" s="47"/>
      <c r="G97" s="47"/>
      <c r="H97" s="47"/>
      <c r="I97" s="47"/>
      <c r="J97" s="12" t="str">
        <f aca="false">IF(N(D97)=0,"",IF(N(E97)&gt;0.5,IF(I97="Y","REMOVE NOW: target at risk","REMOVE NOW"),IF(N(E97)&gt;=0.3,"GRAY ZONE: assess structure",IF(G97="High","TREAT",IF(F97="Y","REMOVE AND REPLACE","PLANT FIRST, REMOVE LATER")))))</f>
        <v/>
      </c>
      <c r="K97" s="12" t="str">
        <f aca="false">IF(N(D97)=0,"",IF(J97="TREAT","Successor if space: ","")&amp;IF(H97="Wet","Quercus bicolor or Malus fusca",IF(H97="Riparian","Natives only: Malus fusca, Salix, Q. garryana on edges",IF(H97="Upland","Quercus garryana or Q. macrocarpa","Set site type"))))</f>
        <v/>
      </c>
      <c r="L97" s="54" t="str">
        <f aca="false">IF(N(D97)=0,"",D97*'Ash EAB'!$B$11)</f>
        <v/>
      </c>
      <c r="M97" s="54" t="str">
        <f aca="false">IF(N(D97)=0,"",L97*ROUNDUP('Ash EAB'!$B$17/'Ash EAB'!$B$12,0))</f>
        <v/>
      </c>
      <c r="N97" s="54" t="str">
        <f aca="false">IF(N(D97)=0,"",D97*'Ash EAB'!$B$13+'Ash EAB'!$B$15)</f>
        <v/>
      </c>
      <c r="O97" s="54" t="str">
        <f aca="false">IF(N(D97)=0,"",D97*'Ash EAB'!$B$13*'Ash EAB'!$B$14+'Ash EAB'!$B$15)</f>
        <v/>
      </c>
      <c r="P97" s="47" t="str">
        <f aca="false">IF(N(D97)=0,"",IF(M97&lt;N97,"Treat","Replace"))</f>
        <v/>
      </c>
      <c r="Q97" s="43"/>
      <c r="R97" s="37"/>
      <c r="S97" s="37" t="str">
        <f aca="false">IF(R97="","",EDATE(R97,ROUND('Ash EAB'!$B$12*12,0)))</f>
        <v/>
      </c>
      <c r="T97" s="47"/>
      <c r="U97" s="12"/>
    </row>
    <row r="98" customFormat="false" ht="15" hidden="false" customHeight="true" outlineLevel="0" collapsed="false">
      <c r="A98" s="43"/>
      <c r="B98" s="81"/>
      <c r="C98" s="12"/>
      <c r="D98" s="42"/>
      <c r="E98" s="85"/>
      <c r="F98" s="47"/>
      <c r="G98" s="47"/>
      <c r="H98" s="47"/>
      <c r="I98" s="47"/>
      <c r="J98" s="12" t="str">
        <f aca="false">IF(N(D98)=0,"",IF(N(E98)&gt;0.5,IF(I98="Y","REMOVE NOW: target at risk","REMOVE NOW"),IF(N(E98)&gt;=0.3,"GRAY ZONE: assess structure",IF(G98="High","TREAT",IF(F98="Y","REMOVE AND REPLACE","PLANT FIRST, REMOVE LATER")))))</f>
        <v/>
      </c>
      <c r="K98" s="12" t="str">
        <f aca="false">IF(N(D98)=0,"",IF(J98="TREAT","Successor if space: ","")&amp;IF(H98="Wet","Quercus bicolor or Malus fusca",IF(H98="Riparian","Natives only: Malus fusca, Salix, Q. garryana on edges",IF(H98="Upland","Quercus garryana or Q. macrocarpa","Set site type"))))</f>
        <v/>
      </c>
      <c r="L98" s="54" t="str">
        <f aca="false">IF(N(D98)=0,"",D98*'Ash EAB'!$B$11)</f>
        <v/>
      </c>
      <c r="M98" s="54" t="str">
        <f aca="false">IF(N(D98)=0,"",L98*ROUNDUP('Ash EAB'!$B$17/'Ash EAB'!$B$12,0))</f>
        <v/>
      </c>
      <c r="N98" s="54" t="str">
        <f aca="false">IF(N(D98)=0,"",D98*'Ash EAB'!$B$13+'Ash EAB'!$B$15)</f>
        <v/>
      </c>
      <c r="O98" s="54" t="str">
        <f aca="false">IF(N(D98)=0,"",D98*'Ash EAB'!$B$13*'Ash EAB'!$B$14+'Ash EAB'!$B$15)</f>
        <v/>
      </c>
      <c r="P98" s="47" t="str">
        <f aca="false">IF(N(D98)=0,"",IF(M98&lt;N98,"Treat","Replace"))</f>
        <v/>
      </c>
      <c r="Q98" s="43"/>
      <c r="R98" s="37"/>
      <c r="S98" s="37" t="str">
        <f aca="false">IF(R98="","",EDATE(R98,ROUND('Ash EAB'!$B$12*12,0)))</f>
        <v/>
      </c>
      <c r="T98" s="47"/>
      <c r="U98" s="12"/>
    </row>
    <row r="99" customFormat="false" ht="15" hidden="false" customHeight="true" outlineLevel="0" collapsed="false">
      <c r="A99" s="43"/>
      <c r="B99" s="81"/>
      <c r="C99" s="12"/>
      <c r="D99" s="42"/>
      <c r="E99" s="85"/>
      <c r="F99" s="47"/>
      <c r="G99" s="47"/>
      <c r="H99" s="47"/>
      <c r="I99" s="47"/>
      <c r="J99" s="12" t="str">
        <f aca="false">IF(N(D99)=0,"",IF(N(E99)&gt;0.5,IF(I99="Y","REMOVE NOW: target at risk","REMOVE NOW"),IF(N(E99)&gt;=0.3,"GRAY ZONE: assess structure",IF(G99="High","TREAT",IF(F99="Y","REMOVE AND REPLACE","PLANT FIRST, REMOVE LATER")))))</f>
        <v/>
      </c>
      <c r="K99" s="12" t="str">
        <f aca="false">IF(N(D99)=0,"",IF(J99="TREAT","Successor if space: ","")&amp;IF(H99="Wet","Quercus bicolor or Malus fusca",IF(H99="Riparian","Natives only: Malus fusca, Salix, Q. garryana on edges",IF(H99="Upland","Quercus garryana or Q. macrocarpa","Set site type"))))</f>
        <v/>
      </c>
      <c r="L99" s="54" t="str">
        <f aca="false">IF(N(D99)=0,"",D99*'Ash EAB'!$B$11)</f>
        <v/>
      </c>
      <c r="M99" s="54" t="str">
        <f aca="false">IF(N(D99)=0,"",L99*ROUNDUP('Ash EAB'!$B$17/'Ash EAB'!$B$12,0))</f>
        <v/>
      </c>
      <c r="N99" s="54" t="str">
        <f aca="false">IF(N(D99)=0,"",D99*'Ash EAB'!$B$13+'Ash EAB'!$B$15)</f>
        <v/>
      </c>
      <c r="O99" s="54" t="str">
        <f aca="false">IF(N(D99)=0,"",D99*'Ash EAB'!$B$13*'Ash EAB'!$B$14+'Ash EAB'!$B$15)</f>
        <v/>
      </c>
      <c r="P99" s="47" t="str">
        <f aca="false">IF(N(D99)=0,"",IF(M99&lt;N99,"Treat","Replace"))</f>
        <v/>
      </c>
      <c r="Q99" s="43"/>
      <c r="R99" s="37"/>
      <c r="S99" s="37" t="str">
        <f aca="false">IF(R99="","",EDATE(R99,ROUND('Ash EAB'!$B$12*12,0)))</f>
        <v/>
      </c>
      <c r="T99" s="47"/>
      <c r="U99" s="12"/>
    </row>
    <row r="100" customFormat="false" ht="15" hidden="false" customHeight="true" outlineLevel="0" collapsed="false">
      <c r="A100" s="43"/>
      <c r="B100" s="81"/>
      <c r="C100" s="12"/>
      <c r="D100" s="42"/>
      <c r="E100" s="85"/>
      <c r="F100" s="47"/>
      <c r="G100" s="47"/>
      <c r="H100" s="47"/>
      <c r="I100" s="47"/>
      <c r="J100" s="12" t="str">
        <f aca="false">IF(N(D100)=0,"",IF(N(E100)&gt;0.5,IF(I100="Y","REMOVE NOW: target at risk","REMOVE NOW"),IF(N(E100)&gt;=0.3,"GRAY ZONE: assess structure",IF(G100="High","TREAT",IF(F100="Y","REMOVE AND REPLACE","PLANT FIRST, REMOVE LATER")))))</f>
        <v/>
      </c>
      <c r="K100" s="12" t="str">
        <f aca="false">IF(N(D100)=0,"",IF(J100="TREAT","Successor if space: ","")&amp;IF(H100="Wet","Quercus bicolor or Malus fusca",IF(H100="Riparian","Natives only: Malus fusca, Salix, Q. garryana on edges",IF(H100="Upland","Quercus garryana or Q. macrocarpa","Set site type"))))</f>
        <v/>
      </c>
      <c r="L100" s="54" t="str">
        <f aca="false">IF(N(D100)=0,"",D100*'Ash EAB'!$B$11)</f>
        <v/>
      </c>
      <c r="M100" s="54" t="str">
        <f aca="false">IF(N(D100)=0,"",L100*ROUNDUP('Ash EAB'!$B$17/'Ash EAB'!$B$12,0))</f>
        <v/>
      </c>
      <c r="N100" s="54" t="str">
        <f aca="false">IF(N(D100)=0,"",D100*'Ash EAB'!$B$13+'Ash EAB'!$B$15)</f>
        <v/>
      </c>
      <c r="O100" s="54" t="str">
        <f aca="false">IF(N(D100)=0,"",D100*'Ash EAB'!$B$13*'Ash EAB'!$B$14+'Ash EAB'!$B$15)</f>
        <v/>
      </c>
      <c r="P100" s="47" t="str">
        <f aca="false">IF(N(D100)=0,"",IF(M100&lt;N100,"Treat","Replace"))</f>
        <v/>
      </c>
      <c r="Q100" s="43"/>
      <c r="R100" s="37"/>
      <c r="S100" s="37" t="str">
        <f aca="false">IF(R100="","",EDATE(R100,ROUND('Ash EAB'!$B$12*12,0)))</f>
        <v/>
      </c>
      <c r="T100" s="47"/>
      <c r="U100" s="12"/>
    </row>
    <row r="101" customFormat="false" ht="15" hidden="false" customHeight="true" outlineLevel="0" collapsed="false">
      <c r="A101" s="43"/>
      <c r="B101" s="81"/>
      <c r="C101" s="12"/>
      <c r="D101" s="42"/>
      <c r="E101" s="85"/>
      <c r="F101" s="47"/>
      <c r="G101" s="47"/>
      <c r="H101" s="47"/>
      <c r="I101" s="47"/>
      <c r="J101" s="12" t="str">
        <f aca="false">IF(N(D101)=0,"",IF(N(E101)&gt;0.5,IF(I101="Y","REMOVE NOW: target at risk","REMOVE NOW"),IF(N(E101)&gt;=0.3,"GRAY ZONE: assess structure",IF(G101="High","TREAT",IF(F101="Y","REMOVE AND REPLACE","PLANT FIRST, REMOVE LATER")))))</f>
        <v/>
      </c>
      <c r="K101" s="12" t="str">
        <f aca="false">IF(N(D101)=0,"",IF(J101="TREAT","Successor if space: ","")&amp;IF(H101="Wet","Quercus bicolor or Malus fusca",IF(H101="Riparian","Natives only: Malus fusca, Salix, Q. garryana on edges",IF(H101="Upland","Quercus garryana or Q. macrocarpa","Set site type"))))</f>
        <v/>
      </c>
      <c r="L101" s="54" t="str">
        <f aca="false">IF(N(D101)=0,"",D101*'Ash EAB'!$B$11)</f>
        <v/>
      </c>
      <c r="M101" s="54" t="str">
        <f aca="false">IF(N(D101)=0,"",L101*ROUNDUP('Ash EAB'!$B$17/'Ash EAB'!$B$12,0))</f>
        <v/>
      </c>
      <c r="N101" s="54" t="str">
        <f aca="false">IF(N(D101)=0,"",D101*'Ash EAB'!$B$13+'Ash EAB'!$B$15)</f>
        <v/>
      </c>
      <c r="O101" s="54" t="str">
        <f aca="false">IF(N(D101)=0,"",D101*'Ash EAB'!$B$13*'Ash EAB'!$B$14+'Ash EAB'!$B$15)</f>
        <v/>
      </c>
      <c r="P101" s="47" t="str">
        <f aca="false">IF(N(D101)=0,"",IF(M101&lt;N101,"Treat","Replace"))</f>
        <v/>
      </c>
      <c r="Q101" s="43"/>
      <c r="R101" s="37"/>
      <c r="S101" s="37" t="str">
        <f aca="false">IF(R101="","",EDATE(R101,ROUND('Ash EAB'!$B$12*12,0)))</f>
        <v/>
      </c>
      <c r="T101" s="47"/>
      <c r="U101" s="12"/>
    </row>
    <row r="102" customFormat="false" ht="15" hidden="false" customHeight="true" outlineLevel="0" collapsed="false">
      <c r="A102" s="43"/>
      <c r="B102" s="81"/>
      <c r="C102" s="12"/>
      <c r="D102" s="42"/>
      <c r="E102" s="85"/>
      <c r="F102" s="47"/>
      <c r="G102" s="47"/>
      <c r="H102" s="47"/>
      <c r="I102" s="47"/>
      <c r="J102" s="12" t="str">
        <f aca="false">IF(N(D102)=0,"",IF(N(E102)&gt;0.5,IF(I102="Y","REMOVE NOW: target at risk","REMOVE NOW"),IF(N(E102)&gt;=0.3,"GRAY ZONE: assess structure",IF(G102="High","TREAT",IF(F102="Y","REMOVE AND REPLACE","PLANT FIRST, REMOVE LATER")))))</f>
        <v/>
      </c>
      <c r="K102" s="12" t="str">
        <f aca="false">IF(N(D102)=0,"",IF(J102="TREAT","Successor if space: ","")&amp;IF(H102="Wet","Quercus bicolor or Malus fusca",IF(H102="Riparian","Natives only: Malus fusca, Salix, Q. garryana on edges",IF(H102="Upland","Quercus garryana or Q. macrocarpa","Set site type"))))</f>
        <v/>
      </c>
      <c r="L102" s="54" t="str">
        <f aca="false">IF(N(D102)=0,"",D102*'Ash EAB'!$B$11)</f>
        <v/>
      </c>
      <c r="M102" s="54" t="str">
        <f aca="false">IF(N(D102)=0,"",L102*ROUNDUP('Ash EAB'!$B$17/'Ash EAB'!$B$12,0))</f>
        <v/>
      </c>
      <c r="N102" s="54" t="str">
        <f aca="false">IF(N(D102)=0,"",D102*'Ash EAB'!$B$13+'Ash EAB'!$B$15)</f>
        <v/>
      </c>
      <c r="O102" s="54" t="str">
        <f aca="false">IF(N(D102)=0,"",D102*'Ash EAB'!$B$13*'Ash EAB'!$B$14+'Ash EAB'!$B$15)</f>
        <v/>
      </c>
      <c r="P102" s="47" t="str">
        <f aca="false">IF(N(D102)=0,"",IF(M102&lt;N102,"Treat","Replace"))</f>
        <v/>
      </c>
      <c r="Q102" s="43"/>
      <c r="R102" s="37"/>
      <c r="S102" s="37" t="str">
        <f aca="false">IF(R102="","",EDATE(R102,ROUND('Ash EAB'!$B$12*12,0)))</f>
        <v/>
      </c>
      <c r="T102" s="47"/>
      <c r="U102" s="12"/>
    </row>
    <row r="103" customFormat="false" ht="15" hidden="false" customHeight="true" outlineLevel="0" collapsed="false">
      <c r="A103" s="43"/>
      <c r="B103" s="81"/>
      <c r="C103" s="12"/>
      <c r="D103" s="42"/>
      <c r="E103" s="85"/>
      <c r="F103" s="47"/>
      <c r="G103" s="47"/>
      <c r="H103" s="47"/>
      <c r="I103" s="47"/>
      <c r="J103" s="12" t="str">
        <f aca="false">IF(N(D103)=0,"",IF(N(E103)&gt;0.5,IF(I103="Y","REMOVE NOW: target at risk","REMOVE NOW"),IF(N(E103)&gt;=0.3,"GRAY ZONE: assess structure",IF(G103="High","TREAT",IF(F103="Y","REMOVE AND REPLACE","PLANT FIRST, REMOVE LATER")))))</f>
        <v/>
      </c>
      <c r="K103" s="12" t="str">
        <f aca="false">IF(N(D103)=0,"",IF(J103="TREAT","Successor if space: ","")&amp;IF(H103="Wet","Quercus bicolor or Malus fusca",IF(H103="Riparian","Natives only: Malus fusca, Salix, Q. garryana on edges",IF(H103="Upland","Quercus garryana or Q. macrocarpa","Set site type"))))</f>
        <v/>
      </c>
      <c r="L103" s="54" t="str">
        <f aca="false">IF(N(D103)=0,"",D103*'Ash EAB'!$B$11)</f>
        <v/>
      </c>
      <c r="M103" s="54" t="str">
        <f aca="false">IF(N(D103)=0,"",L103*ROUNDUP('Ash EAB'!$B$17/'Ash EAB'!$B$12,0))</f>
        <v/>
      </c>
      <c r="N103" s="54" t="str">
        <f aca="false">IF(N(D103)=0,"",D103*'Ash EAB'!$B$13+'Ash EAB'!$B$15)</f>
        <v/>
      </c>
      <c r="O103" s="54" t="str">
        <f aca="false">IF(N(D103)=0,"",D103*'Ash EAB'!$B$13*'Ash EAB'!$B$14+'Ash EAB'!$B$15)</f>
        <v/>
      </c>
      <c r="P103" s="47" t="str">
        <f aca="false">IF(N(D103)=0,"",IF(M103&lt;N103,"Treat","Replace"))</f>
        <v/>
      </c>
      <c r="Q103" s="43"/>
      <c r="R103" s="37"/>
      <c r="S103" s="37" t="str">
        <f aca="false">IF(R103="","",EDATE(R103,ROUND('Ash EAB'!$B$12*12,0)))</f>
        <v/>
      </c>
      <c r="T103" s="47"/>
      <c r="U103" s="12"/>
    </row>
    <row r="104" customFormat="false" ht="15" hidden="false" customHeight="true" outlineLevel="0" collapsed="false">
      <c r="A104" s="43"/>
      <c r="B104" s="81"/>
      <c r="C104" s="12"/>
      <c r="D104" s="42"/>
      <c r="E104" s="85"/>
      <c r="F104" s="47"/>
      <c r="G104" s="47"/>
      <c r="H104" s="47"/>
      <c r="I104" s="47"/>
      <c r="J104" s="12" t="str">
        <f aca="false">IF(N(D104)=0,"",IF(N(E104)&gt;0.5,IF(I104="Y","REMOVE NOW: target at risk","REMOVE NOW"),IF(N(E104)&gt;=0.3,"GRAY ZONE: assess structure",IF(G104="High","TREAT",IF(F104="Y","REMOVE AND REPLACE","PLANT FIRST, REMOVE LATER")))))</f>
        <v/>
      </c>
      <c r="K104" s="12" t="str">
        <f aca="false">IF(N(D104)=0,"",IF(J104="TREAT","Successor if space: ","")&amp;IF(H104="Wet","Quercus bicolor or Malus fusca",IF(H104="Riparian","Natives only: Malus fusca, Salix, Q. garryana on edges",IF(H104="Upland","Quercus garryana or Q. macrocarpa","Set site type"))))</f>
        <v/>
      </c>
      <c r="L104" s="54" t="str">
        <f aca="false">IF(N(D104)=0,"",D104*'Ash EAB'!$B$11)</f>
        <v/>
      </c>
      <c r="M104" s="54" t="str">
        <f aca="false">IF(N(D104)=0,"",L104*ROUNDUP('Ash EAB'!$B$17/'Ash EAB'!$B$12,0))</f>
        <v/>
      </c>
      <c r="N104" s="54" t="str">
        <f aca="false">IF(N(D104)=0,"",D104*'Ash EAB'!$B$13+'Ash EAB'!$B$15)</f>
        <v/>
      </c>
      <c r="O104" s="54" t="str">
        <f aca="false">IF(N(D104)=0,"",D104*'Ash EAB'!$B$13*'Ash EAB'!$B$14+'Ash EAB'!$B$15)</f>
        <v/>
      </c>
      <c r="P104" s="47" t="str">
        <f aca="false">IF(N(D104)=0,"",IF(M104&lt;N104,"Treat","Replace"))</f>
        <v/>
      </c>
      <c r="Q104" s="43"/>
      <c r="R104" s="37"/>
      <c r="S104" s="37" t="str">
        <f aca="false">IF(R104="","",EDATE(R104,ROUND('Ash EAB'!$B$12*12,0)))</f>
        <v/>
      </c>
      <c r="T104" s="47"/>
      <c r="U104" s="12"/>
    </row>
    <row r="105" customFormat="false" ht="15" hidden="false" customHeight="true" outlineLevel="0" collapsed="false">
      <c r="A105" s="43"/>
      <c r="B105" s="81"/>
      <c r="C105" s="12"/>
      <c r="D105" s="42"/>
      <c r="E105" s="85"/>
      <c r="F105" s="47"/>
      <c r="G105" s="47"/>
      <c r="H105" s="47"/>
      <c r="I105" s="47"/>
      <c r="J105" s="12" t="str">
        <f aca="false">IF(N(D105)=0,"",IF(N(E105)&gt;0.5,IF(I105="Y","REMOVE NOW: target at risk","REMOVE NOW"),IF(N(E105)&gt;=0.3,"GRAY ZONE: assess structure",IF(G105="High","TREAT",IF(F105="Y","REMOVE AND REPLACE","PLANT FIRST, REMOVE LATER")))))</f>
        <v/>
      </c>
      <c r="K105" s="12" t="str">
        <f aca="false">IF(N(D105)=0,"",IF(J105="TREAT","Successor if space: ","")&amp;IF(H105="Wet","Quercus bicolor or Malus fusca",IF(H105="Riparian","Natives only: Malus fusca, Salix, Q. garryana on edges",IF(H105="Upland","Quercus garryana or Q. macrocarpa","Set site type"))))</f>
        <v/>
      </c>
      <c r="L105" s="54" t="str">
        <f aca="false">IF(N(D105)=0,"",D105*'Ash EAB'!$B$11)</f>
        <v/>
      </c>
      <c r="M105" s="54" t="str">
        <f aca="false">IF(N(D105)=0,"",L105*ROUNDUP('Ash EAB'!$B$17/'Ash EAB'!$B$12,0))</f>
        <v/>
      </c>
      <c r="N105" s="54" t="str">
        <f aca="false">IF(N(D105)=0,"",D105*'Ash EAB'!$B$13+'Ash EAB'!$B$15)</f>
        <v/>
      </c>
      <c r="O105" s="54" t="str">
        <f aca="false">IF(N(D105)=0,"",D105*'Ash EAB'!$B$13*'Ash EAB'!$B$14+'Ash EAB'!$B$15)</f>
        <v/>
      </c>
      <c r="P105" s="47" t="str">
        <f aca="false">IF(N(D105)=0,"",IF(M105&lt;N105,"Treat","Replace"))</f>
        <v/>
      </c>
      <c r="Q105" s="43"/>
      <c r="R105" s="37"/>
      <c r="S105" s="37" t="str">
        <f aca="false">IF(R105="","",EDATE(R105,ROUND('Ash EAB'!$B$12*12,0)))</f>
        <v/>
      </c>
      <c r="T105" s="47"/>
      <c r="U105" s="12"/>
    </row>
    <row r="106" customFormat="false" ht="15" hidden="false" customHeight="true" outlineLevel="0" collapsed="false">
      <c r="A106" s="43"/>
      <c r="B106" s="81"/>
      <c r="C106" s="12"/>
      <c r="D106" s="42"/>
      <c r="E106" s="85"/>
      <c r="F106" s="47"/>
      <c r="G106" s="47"/>
      <c r="H106" s="47"/>
      <c r="I106" s="47"/>
      <c r="J106" s="12" t="str">
        <f aca="false">IF(N(D106)=0,"",IF(N(E106)&gt;0.5,IF(I106="Y","REMOVE NOW: target at risk","REMOVE NOW"),IF(N(E106)&gt;=0.3,"GRAY ZONE: assess structure",IF(G106="High","TREAT",IF(F106="Y","REMOVE AND REPLACE","PLANT FIRST, REMOVE LATER")))))</f>
        <v/>
      </c>
      <c r="K106" s="12" t="str">
        <f aca="false">IF(N(D106)=0,"",IF(J106="TREAT","Successor if space: ","")&amp;IF(H106="Wet","Quercus bicolor or Malus fusca",IF(H106="Riparian","Natives only: Malus fusca, Salix, Q. garryana on edges",IF(H106="Upland","Quercus garryana or Q. macrocarpa","Set site type"))))</f>
        <v/>
      </c>
      <c r="L106" s="54" t="str">
        <f aca="false">IF(N(D106)=0,"",D106*'Ash EAB'!$B$11)</f>
        <v/>
      </c>
      <c r="M106" s="54" t="str">
        <f aca="false">IF(N(D106)=0,"",L106*ROUNDUP('Ash EAB'!$B$17/'Ash EAB'!$B$12,0))</f>
        <v/>
      </c>
      <c r="N106" s="54" t="str">
        <f aca="false">IF(N(D106)=0,"",D106*'Ash EAB'!$B$13+'Ash EAB'!$B$15)</f>
        <v/>
      </c>
      <c r="O106" s="54" t="str">
        <f aca="false">IF(N(D106)=0,"",D106*'Ash EAB'!$B$13*'Ash EAB'!$B$14+'Ash EAB'!$B$15)</f>
        <v/>
      </c>
      <c r="P106" s="47" t="str">
        <f aca="false">IF(N(D106)=0,"",IF(M106&lt;N106,"Treat","Replace"))</f>
        <v/>
      </c>
      <c r="Q106" s="43"/>
      <c r="R106" s="37"/>
      <c r="S106" s="37" t="str">
        <f aca="false">IF(R106="","",EDATE(R106,ROUND('Ash EAB'!$B$12*12,0)))</f>
        <v/>
      </c>
      <c r="T106" s="47"/>
      <c r="U106" s="12"/>
    </row>
    <row r="107" customFormat="false" ht="15" hidden="false" customHeight="true" outlineLevel="0" collapsed="false">
      <c r="A107" s="43"/>
      <c r="B107" s="81"/>
      <c r="C107" s="12"/>
      <c r="D107" s="42"/>
      <c r="E107" s="85"/>
      <c r="F107" s="47"/>
      <c r="G107" s="47"/>
      <c r="H107" s="47"/>
      <c r="I107" s="47"/>
      <c r="J107" s="12" t="str">
        <f aca="false">IF(N(D107)=0,"",IF(N(E107)&gt;0.5,IF(I107="Y","REMOVE NOW: target at risk","REMOVE NOW"),IF(N(E107)&gt;=0.3,"GRAY ZONE: assess structure",IF(G107="High","TREAT",IF(F107="Y","REMOVE AND REPLACE","PLANT FIRST, REMOVE LATER")))))</f>
        <v/>
      </c>
      <c r="K107" s="12" t="str">
        <f aca="false">IF(N(D107)=0,"",IF(J107="TREAT","Successor if space: ","")&amp;IF(H107="Wet","Quercus bicolor or Malus fusca",IF(H107="Riparian","Natives only: Malus fusca, Salix, Q. garryana on edges",IF(H107="Upland","Quercus garryana or Q. macrocarpa","Set site type"))))</f>
        <v/>
      </c>
      <c r="L107" s="54" t="str">
        <f aca="false">IF(N(D107)=0,"",D107*'Ash EAB'!$B$11)</f>
        <v/>
      </c>
      <c r="M107" s="54" t="str">
        <f aca="false">IF(N(D107)=0,"",L107*ROUNDUP('Ash EAB'!$B$17/'Ash EAB'!$B$12,0))</f>
        <v/>
      </c>
      <c r="N107" s="54" t="str">
        <f aca="false">IF(N(D107)=0,"",D107*'Ash EAB'!$B$13+'Ash EAB'!$B$15)</f>
        <v/>
      </c>
      <c r="O107" s="54" t="str">
        <f aca="false">IF(N(D107)=0,"",D107*'Ash EAB'!$B$13*'Ash EAB'!$B$14+'Ash EAB'!$B$15)</f>
        <v/>
      </c>
      <c r="P107" s="47" t="str">
        <f aca="false">IF(N(D107)=0,"",IF(M107&lt;N107,"Treat","Replace"))</f>
        <v/>
      </c>
      <c r="Q107" s="43"/>
      <c r="R107" s="37"/>
      <c r="S107" s="37" t="str">
        <f aca="false">IF(R107="","",EDATE(R107,ROUND('Ash EAB'!$B$12*12,0)))</f>
        <v/>
      </c>
      <c r="T107" s="47"/>
      <c r="U107" s="12"/>
    </row>
    <row r="108" customFormat="false" ht="15" hidden="false" customHeight="true" outlineLevel="0" collapsed="false">
      <c r="A108" s="43"/>
      <c r="B108" s="81"/>
      <c r="C108" s="12"/>
      <c r="D108" s="42"/>
      <c r="E108" s="85"/>
      <c r="F108" s="47"/>
      <c r="G108" s="47"/>
      <c r="H108" s="47"/>
      <c r="I108" s="47"/>
      <c r="J108" s="12" t="str">
        <f aca="false">IF(N(D108)=0,"",IF(N(E108)&gt;0.5,IF(I108="Y","REMOVE NOW: target at risk","REMOVE NOW"),IF(N(E108)&gt;=0.3,"GRAY ZONE: assess structure",IF(G108="High","TREAT",IF(F108="Y","REMOVE AND REPLACE","PLANT FIRST, REMOVE LATER")))))</f>
        <v/>
      </c>
      <c r="K108" s="12" t="str">
        <f aca="false">IF(N(D108)=0,"",IF(J108="TREAT","Successor if space: ","")&amp;IF(H108="Wet","Quercus bicolor or Malus fusca",IF(H108="Riparian","Natives only: Malus fusca, Salix, Q. garryana on edges",IF(H108="Upland","Quercus garryana or Q. macrocarpa","Set site type"))))</f>
        <v/>
      </c>
      <c r="L108" s="54" t="str">
        <f aca="false">IF(N(D108)=0,"",D108*'Ash EAB'!$B$11)</f>
        <v/>
      </c>
      <c r="M108" s="54" t="str">
        <f aca="false">IF(N(D108)=0,"",L108*ROUNDUP('Ash EAB'!$B$17/'Ash EAB'!$B$12,0))</f>
        <v/>
      </c>
      <c r="N108" s="54" t="str">
        <f aca="false">IF(N(D108)=0,"",D108*'Ash EAB'!$B$13+'Ash EAB'!$B$15)</f>
        <v/>
      </c>
      <c r="O108" s="54" t="str">
        <f aca="false">IF(N(D108)=0,"",D108*'Ash EAB'!$B$13*'Ash EAB'!$B$14+'Ash EAB'!$B$15)</f>
        <v/>
      </c>
      <c r="P108" s="47" t="str">
        <f aca="false">IF(N(D108)=0,"",IF(M108&lt;N108,"Treat","Replace"))</f>
        <v/>
      </c>
      <c r="Q108" s="43"/>
      <c r="R108" s="37"/>
      <c r="S108" s="37" t="str">
        <f aca="false">IF(R108="","",EDATE(R108,ROUND('Ash EAB'!$B$12*12,0)))</f>
        <v/>
      </c>
      <c r="T108" s="47"/>
      <c r="U108" s="12"/>
    </row>
    <row r="109" customFormat="false" ht="15" hidden="false" customHeight="true" outlineLevel="0" collapsed="false">
      <c r="A109" s="43"/>
      <c r="B109" s="81"/>
      <c r="C109" s="12"/>
      <c r="D109" s="42"/>
      <c r="E109" s="85"/>
      <c r="F109" s="47"/>
      <c r="G109" s="47"/>
      <c r="H109" s="47"/>
      <c r="I109" s="47"/>
      <c r="J109" s="12" t="str">
        <f aca="false">IF(N(D109)=0,"",IF(N(E109)&gt;0.5,IF(I109="Y","REMOVE NOW: target at risk","REMOVE NOW"),IF(N(E109)&gt;=0.3,"GRAY ZONE: assess structure",IF(G109="High","TREAT",IF(F109="Y","REMOVE AND REPLACE","PLANT FIRST, REMOVE LATER")))))</f>
        <v/>
      </c>
      <c r="K109" s="12" t="str">
        <f aca="false">IF(N(D109)=0,"",IF(J109="TREAT","Successor if space: ","")&amp;IF(H109="Wet","Quercus bicolor or Malus fusca",IF(H109="Riparian","Natives only: Malus fusca, Salix, Q. garryana on edges",IF(H109="Upland","Quercus garryana or Q. macrocarpa","Set site type"))))</f>
        <v/>
      </c>
      <c r="L109" s="54" t="str">
        <f aca="false">IF(N(D109)=0,"",D109*'Ash EAB'!$B$11)</f>
        <v/>
      </c>
      <c r="M109" s="54" t="str">
        <f aca="false">IF(N(D109)=0,"",L109*ROUNDUP('Ash EAB'!$B$17/'Ash EAB'!$B$12,0))</f>
        <v/>
      </c>
      <c r="N109" s="54" t="str">
        <f aca="false">IF(N(D109)=0,"",D109*'Ash EAB'!$B$13+'Ash EAB'!$B$15)</f>
        <v/>
      </c>
      <c r="O109" s="54" t="str">
        <f aca="false">IF(N(D109)=0,"",D109*'Ash EAB'!$B$13*'Ash EAB'!$B$14+'Ash EAB'!$B$15)</f>
        <v/>
      </c>
      <c r="P109" s="47" t="str">
        <f aca="false">IF(N(D109)=0,"",IF(M109&lt;N109,"Treat","Replace"))</f>
        <v/>
      </c>
      <c r="Q109" s="43"/>
      <c r="R109" s="37"/>
      <c r="S109" s="37" t="str">
        <f aca="false">IF(R109="","",EDATE(R109,ROUND('Ash EAB'!$B$12*12,0)))</f>
        <v/>
      </c>
      <c r="T109" s="47"/>
      <c r="U109" s="12"/>
    </row>
    <row r="110" customFormat="false" ht="15" hidden="false" customHeight="true" outlineLevel="0" collapsed="false">
      <c r="A110" s="43"/>
      <c r="B110" s="81"/>
      <c r="C110" s="12"/>
      <c r="D110" s="42"/>
      <c r="E110" s="85"/>
      <c r="F110" s="47"/>
      <c r="G110" s="47"/>
      <c r="H110" s="47"/>
      <c r="I110" s="47"/>
      <c r="J110" s="12" t="str">
        <f aca="false">IF(N(D110)=0,"",IF(N(E110)&gt;0.5,IF(I110="Y","REMOVE NOW: target at risk","REMOVE NOW"),IF(N(E110)&gt;=0.3,"GRAY ZONE: assess structure",IF(G110="High","TREAT",IF(F110="Y","REMOVE AND REPLACE","PLANT FIRST, REMOVE LATER")))))</f>
        <v/>
      </c>
      <c r="K110" s="12" t="str">
        <f aca="false">IF(N(D110)=0,"",IF(J110="TREAT","Successor if space: ","")&amp;IF(H110="Wet","Quercus bicolor or Malus fusca",IF(H110="Riparian","Natives only: Malus fusca, Salix, Q. garryana on edges",IF(H110="Upland","Quercus garryana or Q. macrocarpa","Set site type"))))</f>
        <v/>
      </c>
      <c r="L110" s="54" t="str">
        <f aca="false">IF(N(D110)=0,"",D110*'Ash EAB'!$B$11)</f>
        <v/>
      </c>
      <c r="M110" s="54" t="str">
        <f aca="false">IF(N(D110)=0,"",L110*ROUNDUP('Ash EAB'!$B$17/'Ash EAB'!$B$12,0))</f>
        <v/>
      </c>
      <c r="N110" s="54" t="str">
        <f aca="false">IF(N(D110)=0,"",D110*'Ash EAB'!$B$13+'Ash EAB'!$B$15)</f>
        <v/>
      </c>
      <c r="O110" s="54" t="str">
        <f aca="false">IF(N(D110)=0,"",D110*'Ash EAB'!$B$13*'Ash EAB'!$B$14+'Ash EAB'!$B$15)</f>
        <v/>
      </c>
      <c r="P110" s="47" t="str">
        <f aca="false">IF(N(D110)=0,"",IF(M110&lt;N110,"Treat","Replace"))</f>
        <v/>
      </c>
      <c r="Q110" s="43"/>
      <c r="R110" s="37"/>
      <c r="S110" s="37" t="str">
        <f aca="false">IF(R110="","",EDATE(R110,ROUND('Ash EAB'!$B$12*12,0)))</f>
        <v/>
      </c>
      <c r="T110" s="47"/>
      <c r="U110" s="12"/>
    </row>
    <row r="111" customFormat="false" ht="15" hidden="false" customHeight="true" outlineLevel="0" collapsed="false">
      <c r="A111" s="43"/>
      <c r="B111" s="81"/>
      <c r="C111" s="12"/>
      <c r="D111" s="42"/>
      <c r="E111" s="85"/>
      <c r="F111" s="47"/>
      <c r="G111" s="47"/>
      <c r="H111" s="47"/>
      <c r="I111" s="47"/>
      <c r="J111" s="12" t="str">
        <f aca="false">IF(N(D111)=0,"",IF(N(E111)&gt;0.5,IF(I111="Y","REMOVE NOW: target at risk","REMOVE NOW"),IF(N(E111)&gt;=0.3,"GRAY ZONE: assess structure",IF(G111="High","TREAT",IF(F111="Y","REMOVE AND REPLACE","PLANT FIRST, REMOVE LATER")))))</f>
        <v/>
      </c>
      <c r="K111" s="12" t="str">
        <f aca="false">IF(N(D111)=0,"",IF(J111="TREAT","Successor if space: ","")&amp;IF(H111="Wet","Quercus bicolor or Malus fusca",IF(H111="Riparian","Natives only: Malus fusca, Salix, Q. garryana on edges",IF(H111="Upland","Quercus garryana or Q. macrocarpa","Set site type"))))</f>
        <v/>
      </c>
      <c r="L111" s="54" t="str">
        <f aca="false">IF(N(D111)=0,"",D111*'Ash EAB'!$B$11)</f>
        <v/>
      </c>
      <c r="M111" s="54" t="str">
        <f aca="false">IF(N(D111)=0,"",L111*ROUNDUP('Ash EAB'!$B$17/'Ash EAB'!$B$12,0))</f>
        <v/>
      </c>
      <c r="N111" s="54" t="str">
        <f aca="false">IF(N(D111)=0,"",D111*'Ash EAB'!$B$13+'Ash EAB'!$B$15)</f>
        <v/>
      </c>
      <c r="O111" s="54" t="str">
        <f aca="false">IF(N(D111)=0,"",D111*'Ash EAB'!$B$13*'Ash EAB'!$B$14+'Ash EAB'!$B$15)</f>
        <v/>
      </c>
      <c r="P111" s="47" t="str">
        <f aca="false">IF(N(D111)=0,"",IF(M111&lt;N111,"Treat","Replace"))</f>
        <v/>
      </c>
      <c r="Q111" s="43"/>
      <c r="R111" s="37"/>
      <c r="S111" s="37" t="str">
        <f aca="false">IF(R111="","",EDATE(R111,ROUND('Ash EAB'!$B$12*12,0)))</f>
        <v/>
      </c>
      <c r="T111" s="47"/>
      <c r="U111" s="12"/>
    </row>
    <row r="112" customFormat="false" ht="15" hidden="false" customHeight="true" outlineLevel="0" collapsed="false">
      <c r="A112" s="43"/>
      <c r="B112" s="81"/>
      <c r="C112" s="12"/>
      <c r="D112" s="42"/>
      <c r="E112" s="85"/>
      <c r="F112" s="47"/>
      <c r="G112" s="47"/>
      <c r="H112" s="47"/>
      <c r="I112" s="47"/>
      <c r="J112" s="12" t="str">
        <f aca="false">IF(N(D112)=0,"",IF(N(E112)&gt;0.5,IF(I112="Y","REMOVE NOW: target at risk","REMOVE NOW"),IF(N(E112)&gt;=0.3,"GRAY ZONE: assess structure",IF(G112="High","TREAT",IF(F112="Y","REMOVE AND REPLACE","PLANT FIRST, REMOVE LATER")))))</f>
        <v/>
      </c>
      <c r="K112" s="12" t="str">
        <f aca="false">IF(N(D112)=0,"",IF(J112="TREAT","Successor if space: ","")&amp;IF(H112="Wet","Quercus bicolor or Malus fusca",IF(H112="Riparian","Natives only: Malus fusca, Salix, Q. garryana on edges",IF(H112="Upland","Quercus garryana or Q. macrocarpa","Set site type"))))</f>
        <v/>
      </c>
      <c r="L112" s="54" t="str">
        <f aca="false">IF(N(D112)=0,"",D112*'Ash EAB'!$B$11)</f>
        <v/>
      </c>
      <c r="M112" s="54" t="str">
        <f aca="false">IF(N(D112)=0,"",L112*ROUNDUP('Ash EAB'!$B$17/'Ash EAB'!$B$12,0))</f>
        <v/>
      </c>
      <c r="N112" s="54" t="str">
        <f aca="false">IF(N(D112)=0,"",D112*'Ash EAB'!$B$13+'Ash EAB'!$B$15)</f>
        <v/>
      </c>
      <c r="O112" s="54" t="str">
        <f aca="false">IF(N(D112)=0,"",D112*'Ash EAB'!$B$13*'Ash EAB'!$B$14+'Ash EAB'!$B$15)</f>
        <v/>
      </c>
      <c r="P112" s="47" t="str">
        <f aca="false">IF(N(D112)=0,"",IF(M112&lt;N112,"Treat","Replace"))</f>
        <v/>
      </c>
      <c r="Q112" s="43"/>
      <c r="R112" s="37"/>
      <c r="S112" s="37" t="str">
        <f aca="false">IF(R112="","",EDATE(R112,ROUND('Ash EAB'!$B$12*12,0)))</f>
        <v/>
      </c>
      <c r="T112" s="47"/>
      <c r="U112" s="12"/>
    </row>
    <row r="113" customFormat="false" ht="15" hidden="false" customHeight="true" outlineLevel="0" collapsed="false">
      <c r="A113" s="43"/>
      <c r="B113" s="81"/>
      <c r="C113" s="12"/>
      <c r="D113" s="42"/>
      <c r="E113" s="85"/>
      <c r="F113" s="47"/>
      <c r="G113" s="47"/>
      <c r="H113" s="47"/>
      <c r="I113" s="47"/>
      <c r="J113" s="12" t="str">
        <f aca="false">IF(N(D113)=0,"",IF(N(E113)&gt;0.5,IF(I113="Y","REMOVE NOW: target at risk","REMOVE NOW"),IF(N(E113)&gt;=0.3,"GRAY ZONE: assess structure",IF(G113="High","TREAT",IF(F113="Y","REMOVE AND REPLACE","PLANT FIRST, REMOVE LATER")))))</f>
        <v/>
      </c>
      <c r="K113" s="12" t="str">
        <f aca="false">IF(N(D113)=0,"",IF(J113="TREAT","Successor if space: ","")&amp;IF(H113="Wet","Quercus bicolor or Malus fusca",IF(H113="Riparian","Natives only: Malus fusca, Salix, Q. garryana on edges",IF(H113="Upland","Quercus garryana or Q. macrocarpa","Set site type"))))</f>
        <v/>
      </c>
      <c r="L113" s="54" t="str">
        <f aca="false">IF(N(D113)=0,"",D113*'Ash EAB'!$B$11)</f>
        <v/>
      </c>
      <c r="M113" s="54" t="str">
        <f aca="false">IF(N(D113)=0,"",L113*ROUNDUP('Ash EAB'!$B$17/'Ash EAB'!$B$12,0))</f>
        <v/>
      </c>
      <c r="N113" s="54" t="str">
        <f aca="false">IF(N(D113)=0,"",D113*'Ash EAB'!$B$13+'Ash EAB'!$B$15)</f>
        <v/>
      </c>
      <c r="O113" s="54" t="str">
        <f aca="false">IF(N(D113)=0,"",D113*'Ash EAB'!$B$13*'Ash EAB'!$B$14+'Ash EAB'!$B$15)</f>
        <v/>
      </c>
      <c r="P113" s="47" t="str">
        <f aca="false">IF(N(D113)=0,"",IF(M113&lt;N113,"Treat","Replace"))</f>
        <v/>
      </c>
      <c r="Q113" s="43"/>
      <c r="R113" s="37"/>
      <c r="S113" s="37" t="str">
        <f aca="false">IF(R113="","",EDATE(R113,ROUND('Ash EAB'!$B$12*12,0)))</f>
        <v/>
      </c>
      <c r="T113" s="47"/>
      <c r="U113" s="12"/>
    </row>
    <row r="114" customFormat="false" ht="15" hidden="false" customHeight="true" outlineLevel="0" collapsed="false">
      <c r="A114" s="43"/>
      <c r="B114" s="81"/>
      <c r="C114" s="12"/>
      <c r="D114" s="42"/>
      <c r="E114" s="85"/>
      <c r="F114" s="47"/>
      <c r="G114" s="47"/>
      <c r="H114" s="47"/>
      <c r="I114" s="47"/>
      <c r="J114" s="12" t="str">
        <f aca="false">IF(N(D114)=0,"",IF(N(E114)&gt;0.5,IF(I114="Y","REMOVE NOW: target at risk","REMOVE NOW"),IF(N(E114)&gt;=0.3,"GRAY ZONE: assess structure",IF(G114="High","TREAT",IF(F114="Y","REMOVE AND REPLACE","PLANT FIRST, REMOVE LATER")))))</f>
        <v/>
      </c>
      <c r="K114" s="12" t="str">
        <f aca="false">IF(N(D114)=0,"",IF(J114="TREAT","Successor if space: ","")&amp;IF(H114="Wet","Quercus bicolor or Malus fusca",IF(H114="Riparian","Natives only: Malus fusca, Salix, Q. garryana on edges",IF(H114="Upland","Quercus garryana or Q. macrocarpa","Set site type"))))</f>
        <v/>
      </c>
      <c r="L114" s="54" t="str">
        <f aca="false">IF(N(D114)=0,"",D114*'Ash EAB'!$B$11)</f>
        <v/>
      </c>
      <c r="M114" s="54" t="str">
        <f aca="false">IF(N(D114)=0,"",L114*ROUNDUP('Ash EAB'!$B$17/'Ash EAB'!$B$12,0))</f>
        <v/>
      </c>
      <c r="N114" s="54" t="str">
        <f aca="false">IF(N(D114)=0,"",D114*'Ash EAB'!$B$13+'Ash EAB'!$B$15)</f>
        <v/>
      </c>
      <c r="O114" s="54" t="str">
        <f aca="false">IF(N(D114)=0,"",D114*'Ash EAB'!$B$13*'Ash EAB'!$B$14+'Ash EAB'!$B$15)</f>
        <v/>
      </c>
      <c r="P114" s="47" t="str">
        <f aca="false">IF(N(D114)=0,"",IF(M114&lt;N114,"Treat","Replace"))</f>
        <v/>
      </c>
      <c r="Q114" s="43"/>
      <c r="R114" s="37"/>
      <c r="S114" s="37" t="str">
        <f aca="false">IF(R114="","",EDATE(R114,ROUND('Ash EAB'!$B$12*12,0)))</f>
        <v/>
      </c>
      <c r="T114" s="47"/>
      <c r="U114" s="12"/>
    </row>
    <row r="115" customFormat="false" ht="15" hidden="false" customHeight="true" outlineLevel="0" collapsed="false">
      <c r="A115" s="43"/>
      <c r="B115" s="81"/>
      <c r="C115" s="12"/>
      <c r="D115" s="42"/>
      <c r="E115" s="85"/>
      <c r="F115" s="47"/>
      <c r="G115" s="47"/>
      <c r="H115" s="47"/>
      <c r="I115" s="47"/>
      <c r="J115" s="12" t="str">
        <f aca="false">IF(N(D115)=0,"",IF(N(E115)&gt;0.5,IF(I115="Y","REMOVE NOW: target at risk","REMOVE NOW"),IF(N(E115)&gt;=0.3,"GRAY ZONE: assess structure",IF(G115="High","TREAT",IF(F115="Y","REMOVE AND REPLACE","PLANT FIRST, REMOVE LATER")))))</f>
        <v/>
      </c>
      <c r="K115" s="12" t="str">
        <f aca="false">IF(N(D115)=0,"",IF(J115="TREAT","Successor if space: ","")&amp;IF(H115="Wet","Quercus bicolor or Malus fusca",IF(H115="Riparian","Natives only: Malus fusca, Salix, Q. garryana on edges",IF(H115="Upland","Quercus garryana or Q. macrocarpa","Set site type"))))</f>
        <v/>
      </c>
      <c r="L115" s="54" t="str">
        <f aca="false">IF(N(D115)=0,"",D115*'Ash EAB'!$B$11)</f>
        <v/>
      </c>
      <c r="M115" s="54" t="str">
        <f aca="false">IF(N(D115)=0,"",L115*ROUNDUP('Ash EAB'!$B$17/'Ash EAB'!$B$12,0))</f>
        <v/>
      </c>
      <c r="N115" s="54" t="str">
        <f aca="false">IF(N(D115)=0,"",D115*'Ash EAB'!$B$13+'Ash EAB'!$B$15)</f>
        <v/>
      </c>
      <c r="O115" s="54" t="str">
        <f aca="false">IF(N(D115)=0,"",D115*'Ash EAB'!$B$13*'Ash EAB'!$B$14+'Ash EAB'!$B$15)</f>
        <v/>
      </c>
      <c r="P115" s="47" t="str">
        <f aca="false">IF(N(D115)=0,"",IF(M115&lt;N115,"Treat","Replace"))</f>
        <v/>
      </c>
      <c r="Q115" s="43"/>
      <c r="R115" s="37"/>
      <c r="S115" s="37" t="str">
        <f aca="false">IF(R115="","",EDATE(R115,ROUND('Ash EAB'!$B$12*12,0)))</f>
        <v/>
      </c>
      <c r="T115" s="47"/>
      <c r="U115" s="12"/>
    </row>
    <row r="116" customFormat="false" ht="15" hidden="false" customHeight="true" outlineLevel="0" collapsed="false">
      <c r="A116" s="43"/>
      <c r="B116" s="81"/>
      <c r="C116" s="12"/>
      <c r="D116" s="42"/>
      <c r="E116" s="85"/>
      <c r="F116" s="47"/>
      <c r="G116" s="47"/>
      <c r="H116" s="47"/>
      <c r="I116" s="47"/>
      <c r="J116" s="12" t="str">
        <f aca="false">IF(N(D116)=0,"",IF(N(E116)&gt;0.5,IF(I116="Y","REMOVE NOW: target at risk","REMOVE NOW"),IF(N(E116)&gt;=0.3,"GRAY ZONE: assess structure",IF(G116="High","TREAT",IF(F116="Y","REMOVE AND REPLACE","PLANT FIRST, REMOVE LATER")))))</f>
        <v/>
      </c>
      <c r="K116" s="12" t="str">
        <f aca="false">IF(N(D116)=0,"",IF(J116="TREAT","Successor if space: ","")&amp;IF(H116="Wet","Quercus bicolor or Malus fusca",IF(H116="Riparian","Natives only: Malus fusca, Salix, Q. garryana on edges",IF(H116="Upland","Quercus garryana or Q. macrocarpa","Set site type"))))</f>
        <v/>
      </c>
      <c r="L116" s="54" t="str">
        <f aca="false">IF(N(D116)=0,"",D116*'Ash EAB'!$B$11)</f>
        <v/>
      </c>
      <c r="M116" s="54" t="str">
        <f aca="false">IF(N(D116)=0,"",L116*ROUNDUP('Ash EAB'!$B$17/'Ash EAB'!$B$12,0))</f>
        <v/>
      </c>
      <c r="N116" s="54" t="str">
        <f aca="false">IF(N(D116)=0,"",D116*'Ash EAB'!$B$13+'Ash EAB'!$B$15)</f>
        <v/>
      </c>
      <c r="O116" s="54" t="str">
        <f aca="false">IF(N(D116)=0,"",D116*'Ash EAB'!$B$13*'Ash EAB'!$B$14+'Ash EAB'!$B$15)</f>
        <v/>
      </c>
      <c r="P116" s="47" t="str">
        <f aca="false">IF(N(D116)=0,"",IF(M116&lt;N116,"Treat","Replace"))</f>
        <v/>
      </c>
      <c r="Q116" s="43"/>
      <c r="R116" s="37"/>
      <c r="S116" s="37" t="str">
        <f aca="false">IF(R116="","",EDATE(R116,ROUND('Ash EAB'!$B$12*12,0)))</f>
        <v/>
      </c>
      <c r="T116" s="47"/>
      <c r="U116" s="12"/>
    </row>
    <row r="117" customFormat="false" ht="15" hidden="false" customHeight="true" outlineLevel="0" collapsed="false">
      <c r="A117" s="43"/>
      <c r="B117" s="81"/>
      <c r="C117" s="12"/>
      <c r="D117" s="42"/>
      <c r="E117" s="85"/>
      <c r="F117" s="47"/>
      <c r="G117" s="47"/>
      <c r="H117" s="47"/>
      <c r="I117" s="47"/>
      <c r="J117" s="12" t="str">
        <f aca="false">IF(N(D117)=0,"",IF(N(E117)&gt;0.5,IF(I117="Y","REMOVE NOW: target at risk","REMOVE NOW"),IF(N(E117)&gt;=0.3,"GRAY ZONE: assess structure",IF(G117="High","TREAT",IF(F117="Y","REMOVE AND REPLACE","PLANT FIRST, REMOVE LATER")))))</f>
        <v/>
      </c>
      <c r="K117" s="12" t="str">
        <f aca="false">IF(N(D117)=0,"",IF(J117="TREAT","Successor if space: ","")&amp;IF(H117="Wet","Quercus bicolor or Malus fusca",IF(H117="Riparian","Natives only: Malus fusca, Salix, Q. garryana on edges",IF(H117="Upland","Quercus garryana or Q. macrocarpa","Set site type"))))</f>
        <v/>
      </c>
      <c r="L117" s="54" t="str">
        <f aca="false">IF(N(D117)=0,"",D117*'Ash EAB'!$B$11)</f>
        <v/>
      </c>
      <c r="M117" s="54" t="str">
        <f aca="false">IF(N(D117)=0,"",L117*ROUNDUP('Ash EAB'!$B$17/'Ash EAB'!$B$12,0))</f>
        <v/>
      </c>
      <c r="N117" s="54" t="str">
        <f aca="false">IF(N(D117)=0,"",D117*'Ash EAB'!$B$13+'Ash EAB'!$B$15)</f>
        <v/>
      </c>
      <c r="O117" s="54" t="str">
        <f aca="false">IF(N(D117)=0,"",D117*'Ash EAB'!$B$13*'Ash EAB'!$B$14+'Ash EAB'!$B$15)</f>
        <v/>
      </c>
      <c r="P117" s="47" t="str">
        <f aca="false">IF(N(D117)=0,"",IF(M117&lt;N117,"Treat","Replace"))</f>
        <v/>
      </c>
      <c r="Q117" s="43"/>
      <c r="R117" s="37"/>
      <c r="S117" s="37" t="str">
        <f aca="false">IF(R117="","",EDATE(R117,ROUND('Ash EAB'!$B$12*12,0)))</f>
        <v/>
      </c>
      <c r="T117" s="47"/>
      <c r="U117" s="12"/>
    </row>
    <row r="118" customFormat="false" ht="15" hidden="false" customHeight="true" outlineLevel="0" collapsed="false">
      <c r="A118" s="43"/>
      <c r="B118" s="81"/>
      <c r="C118" s="12"/>
      <c r="D118" s="42"/>
      <c r="E118" s="85"/>
      <c r="F118" s="47"/>
      <c r="G118" s="47"/>
      <c r="H118" s="47"/>
      <c r="I118" s="47"/>
      <c r="J118" s="12" t="str">
        <f aca="false">IF(N(D118)=0,"",IF(N(E118)&gt;0.5,IF(I118="Y","REMOVE NOW: target at risk","REMOVE NOW"),IF(N(E118)&gt;=0.3,"GRAY ZONE: assess structure",IF(G118="High","TREAT",IF(F118="Y","REMOVE AND REPLACE","PLANT FIRST, REMOVE LATER")))))</f>
        <v/>
      </c>
      <c r="K118" s="12" t="str">
        <f aca="false">IF(N(D118)=0,"",IF(J118="TREAT","Successor if space: ","")&amp;IF(H118="Wet","Quercus bicolor or Malus fusca",IF(H118="Riparian","Natives only: Malus fusca, Salix, Q. garryana on edges",IF(H118="Upland","Quercus garryana or Q. macrocarpa","Set site type"))))</f>
        <v/>
      </c>
      <c r="L118" s="54" t="str">
        <f aca="false">IF(N(D118)=0,"",D118*'Ash EAB'!$B$11)</f>
        <v/>
      </c>
      <c r="M118" s="54" t="str">
        <f aca="false">IF(N(D118)=0,"",L118*ROUNDUP('Ash EAB'!$B$17/'Ash EAB'!$B$12,0))</f>
        <v/>
      </c>
      <c r="N118" s="54" t="str">
        <f aca="false">IF(N(D118)=0,"",D118*'Ash EAB'!$B$13+'Ash EAB'!$B$15)</f>
        <v/>
      </c>
      <c r="O118" s="54" t="str">
        <f aca="false">IF(N(D118)=0,"",D118*'Ash EAB'!$B$13*'Ash EAB'!$B$14+'Ash EAB'!$B$15)</f>
        <v/>
      </c>
      <c r="P118" s="47" t="str">
        <f aca="false">IF(N(D118)=0,"",IF(M118&lt;N118,"Treat","Replace"))</f>
        <v/>
      </c>
      <c r="Q118" s="43"/>
      <c r="R118" s="37"/>
      <c r="S118" s="37" t="str">
        <f aca="false">IF(R118="","",EDATE(R118,ROUND('Ash EAB'!$B$12*12,0)))</f>
        <v/>
      </c>
      <c r="T118" s="47"/>
      <c r="U118" s="12"/>
    </row>
    <row r="119" customFormat="false" ht="15" hidden="false" customHeight="true" outlineLevel="0" collapsed="false">
      <c r="A119" s="43"/>
      <c r="B119" s="81"/>
      <c r="C119" s="12"/>
      <c r="D119" s="42"/>
      <c r="E119" s="85"/>
      <c r="F119" s="47"/>
      <c r="G119" s="47"/>
      <c r="H119" s="47"/>
      <c r="I119" s="47"/>
      <c r="J119" s="12" t="str">
        <f aca="false">IF(N(D119)=0,"",IF(N(E119)&gt;0.5,IF(I119="Y","REMOVE NOW: target at risk","REMOVE NOW"),IF(N(E119)&gt;=0.3,"GRAY ZONE: assess structure",IF(G119="High","TREAT",IF(F119="Y","REMOVE AND REPLACE","PLANT FIRST, REMOVE LATER")))))</f>
        <v/>
      </c>
      <c r="K119" s="12" t="str">
        <f aca="false">IF(N(D119)=0,"",IF(J119="TREAT","Successor if space: ","")&amp;IF(H119="Wet","Quercus bicolor or Malus fusca",IF(H119="Riparian","Natives only: Malus fusca, Salix, Q. garryana on edges",IF(H119="Upland","Quercus garryana or Q. macrocarpa","Set site type"))))</f>
        <v/>
      </c>
      <c r="L119" s="54" t="str">
        <f aca="false">IF(N(D119)=0,"",D119*'Ash EAB'!$B$11)</f>
        <v/>
      </c>
      <c r="M119" s="54" t="str">
        <f aca="false">IF(N(D119)=0,"",L119*ROUNDUP('Ash EAB'!$B$17/'Ash EAB'!$B$12,0))</f>
        <v/>
      </c>
      <c r="N119" s="54" t="str">
        <f aca="false">IF(N(D119)=0,"",D119*'Ash EAB'!$B$13+'Ash EAB'!$B$15)</f>
        <v/>
      </c>
      <c r="O119" s="54" t="str">
        <f aca="false">IF(N(D119)=0,"",D119*'Ash EAB'!$B$13*'Ash EAB'!$B$14+'Ash EAB'!$B$15)</f>
        <v/>
      </c>
      <c r="P119" s="47" t="str">
        <f aca="false">IF(N(D119)=0,"",IF(M119&lt;N119,"Treat","Replace"))</f>
        <v/>
      </c>
      <c r="Q119" s="43"/>
      <c r="R119" s="37"/>
      <c r="S119" s="37" t="str">
        <f aca="false">IF(R119="","",EDATE(R119,ROUND('Ash EAB'!$B$12*12,0)))</f>
        <v/>
      </c>
      <c r="T119" s="47"/>
      <c r="U119" s="12"/>
    </row>
    <row r="120" customFormat="false" ht="15" hidden="false" customHeight="true" outlineLevel="0" collapsed="false">
      <c r="A120" s="43"/>
      <c r="B120" s="81"/>
      <c r="C120" s="12"/>
      <c r="D120" s="42"/>
      <c r="E120" s="85"/>
      <c r="F120" s="47"/>
      <c r="G120" s="47"/>
      <c r="H120" s="47"/>
      <c r="I120" s="47"/>
      <c r="J120" s="12" t="str">
        <f aca="false">IF(N(D120)=0,"",IF(N(E120)&gt;0.5,IF(I120="Y","REMOVE NOW: target at risk","REMOVE NOW"),IF(N(E120)&gt;=0.3,"GRAY ZONE: assess structure",IF(G120="High","TREAT",IF(F120="Y","REMOVE AND REPLACE","PLANT FIRST, REMOVE LATER")))))</f>
        <v/>
      </c>
      <c r="K120" s="12" t="str">
        <f aca="false">IF(N(D120)=0,"",IF(J120="TREAT","Successor if space: ","")&amp;IF(H120="Wet","Quercus bicolor or Malus fusca",IF(H120="Riparian","Natives only: Malus fusca, Salix, Q. garryana on edges",IF(H120="Upland","Quercus garryana or Q. macrocarpa","Set site type"))))</f>
        <v/>
      </c>
      <c r="L120" s="54" t="str">
        <f aca="false">IF(N(D120)=0,"",D120*'Ash EAB'!$B$11)</f>
        <v/>
      </c>
      <c r="M120" s="54" t="str">
        <f aca="false">IF(N(D120)=0,"",L120*ROUNDUP('Ash EAB'!$B$17/'Ash EAB'!$B$12,0))</f>
        <v/>
      </c>
      <c r="N120" s="54" t="str">
        <f aca="false">IF(N(D120)=0,"",D120*'Ash EAB'!$B$13+'Ash EAB'!$B$15)</f>
        <v/>
      </c>
      <c r="O120" s="54" t="str">
        <f aca="false">IF(N(D120)=0,"",D120*'Ash EAB'!$B$13*'Ash EAB'!$B$14+'Ash EAB'!$B$15)</f>
        <v/>
      </c>
      <c r="P120" s="47" t="str">
        <f aca="false">IF(N(D120)=0,"",IF(M120&lt;N120,"Treat","Replace"))</f>
        <v/>
      </c>
      <c r="Q120" s="43"/>
      <c r="R120" s="37"/>
      <c r="S120" s="37" t="str">
        <f aca="false">IF(R120="","",EDATE(R120,ROUND('Ash EAB'!$B$12*12,0)))</f>
        <v/>
      </c>
      <c r="T120" s="47"/>
      <c r="U120" s="12"/>
    </row>
    <row r="121" customFormat="false" ht="15" hidden="false" customHeight="true" outlineLevel="0" collapsed="false">
      <c r="A121" s="43"/>
      <c r="B121" s="81"/>
      <c r="C121" s="12"/>
      <c r="D121" s="42"/>
      <c r="E121" s="85"/>
      <c r="F121" s="47"/>
      <c r="G121" s="47"/>
      <c r="H121" s="47"/>
      <c r="I121" s="47"/>
      <c r="J121" s="12" t="str">
        <f aca="false">IF(N(D121)=0,"",IF(N(E121)&gt;0.5,IF(I121="Y","REMOVE NOW: target at risk","REMOVE NOW"),IF(N(E121)&gt;=0.3,"GRAY ZONE: assess structure",IF(G121="High","TREAT",IF(F121="Y","REMOVE AND REPLACE","PLANT FIRST, REMOVE LATER")))))</f>
        <v/>
      </c>
      <c r="K121" s="12" t="str">
        <f aca="false">IF(N(D121)=0,"",IF(J121="TREAT","Successor if space: ","")&amp;IF(H121="Wet","Quercus bicolor or Malus fusca",IF(H121="Riparian","Natives only: Malus fusca, Salix, Q. garryana on edges",IF(H121="Upland","Quercus garryana or Q. macrocarpa","Set site type"))))</f>
        <v/>
      </c>
      <c r="L121" s="54" t="str">
        <f aca="false">IF(N(D121)=0,"",D121*'Ash EAB'!$B$11)</f>
        <v/>
      </c>
      <c r="M121" s="54" t="str">
        <f aca="false">IF(N(D121)=0,"",L121*ROUNDUP('Ash EAB'!$B$17/'Ash EAB'!$B$12,0))</f>
        <v/>
      </c>
      <c r="N121" s="54" t="str">
        <f aca="false">IF(N(D121)=0,"",D121*'Ash EAB'!$B$13+'Ash EAB'!$B$15)</f>
        <v/>
      </c>
      <c r="O121" s="54" t="str">
        <f aca="false">IF(N(D121)=0,"",D121*'Ash EAB'!$B$13*'Ash EAB'!$B$14+'Ash EAB'!$B$15)</f>
        <v/>
      </c>
      <c r="P121" s="47" t="str">
        <f aca="false">IF(N(D121)=0,"",IF(M121&lt;N121,"Treat","Replace"))</f>
        <v/>
      </c>
      <c r="Q121" s="43"/>
      <c r="R121" s="37"/>
      <c r="S121" s="37" t="str">
        <f aca="false">IF(R121="","",EDATE(R121,ROUND('Ash EAB'!$B$12*12,0)))</f>
        <v/>
      </c>
      <c r="T121" s="47"/>
      <c r="U121" s="12"/>
    </row>
    <row r="122" customFormat="false" ht="15" hidden="false" customHeight="true" outlineLevel="0" collapsed="false">
      <c r="A122" s="43"/>
      <c r="B122" s="81"/>
      <c r="C122" s="12"/>
      <c r="D122" s="42"/>
      <c r="E122" s="85"/>
      <c r="F122" s="47"/>
      <c r="G122" s="47"/>
      <c r="H122" s="47"/>
      <c r="I122" s="47"/>
      <c r="J122" s="12" t="str">
        <f aca="false">IF(N(D122)=0,"",IF(N(E122)&gt;0.5,IF(I122="Y","REMOVE NOW: target at risk","REMOVE NOW"),IF(N(E122)&gt;=0.3,"GRAY ZONE: assess structure",IF(G122="High","TREAT",IF(F122="Y","REMOVE AND REPLACE","PLANT FIRST, REMOVE LATER")))))</f>
        <v/>
      </c>
      <c r="K122" s="12" t="str">
        <f aca="false">IF(N(D122)=0,"",IF(J122="TREAT","Successor if space: ","")&amp;IF(H122="Wet","Quercus bicolor or Malus fusca",IF(H122="Riparian","Natives only: Malus fusca, Salix, Q. garryana on edges",IF(H122="Upland","Quercus garryana or Q. macrocarpa","Set site type"))))</f>
        <v/>
      </c>
      <c r="L122" s="54" t="str">
        <f aca="false">IF(N(D122)=0,"",D122*'Ash EAB'!$B$11)</f>
        <v/>
      </c>
      <c r="M122" s="54" t="str">
        <f aca="false">IF(N(D122)=0,"",L122*ROUNDUP('Ash EAB'!$B$17/'Ash EAB'!$B$12,0))</f>
        <v/>
      </c>
      <c r="N122" s="54" t="str">
        <f aca="false">IF(N(D122)=0,"",D122*'Ash EAB'!$B$13+'Ash EAB'!$B$15)</f>
        <v/>
      </c>
      <c r="O122" s="54" t="str">
        <f aca="false">IF(N(D122)=0,"",D122*'Ash EAB'!$B$13*'Ash EAB'!$B$14+'Ash EAB'!$B$15)</f>
        <v/>
      </c>
      <c r="P122" s="47" t="str">
        <f aca="false">IF(N(D122)=0,"",IF(M122&lt;N122,"Treat","Replace"))</f>
        <v/>
      </c>
      <c r="Q122" s="43"/>
      <c r="R122" s="37"/>
      <c r="S122" s="37" t="str">
        <f aca="false">IF(R122="","",EDATE(R122,ROUND('Ash EAB'!$B$12*12,0)))</f>
        <v/>
      </c>
      <c r="T122" s="47"/>
      <c r="U122" s="12"/>
    </row>
    <row r="123" customFormat="false" ht="15" hidden="false" customHeight="true" outlineLevel="0" collapsed="false">
      <c r="A123" s="43"/>
      <c r="B123" s="81"/>
      <c r="C123" s="12"/>
      <c r="D123" s="42"/>
      <c r="E123" s="85"/>
      <c r="F123" s="47"/>
      <c r="G123" s="47"/>
      <c r="H123" s="47"/>
      <c r="I123" s="47"/>
      <c r="J123" s="12" t="str">
        <f aca="false">IF(N(D123)=0,"",IF(N(E123)&gt;0.5,IF(I123="Y","REMOVE NOW: target at risk","REMOVE NOW"),IF(N(E123)&gt;=0.3,"GRAY ZONE: assess structure",IF(G123="High","TREAT",IF(F123="Y","REMOVE AND REPLACE","PLANT FIRST, REMOVE LATER")))))</f>
        <v/>
      </c>
      <c r="K123" s="12" t="str">
        <f aca="false">IF(N(D123)=0,"",IF(J123="TREAT","Successor if space: ","")&amp;IF(H123="Wet","Quercus bicolor or Malus fusca",IF(H123="Riparian","Natives only: Malus fusca, Salix, Q. garryana on edges",IF(H123="Upland","Quercus garryana or Q. macrocarpa","Set site type"))))</f>
        <v/>
      </c>
      <c r="L123" s="54" t="str">
        <f aca="false">IF(N(D123)=0,"",D123*'Ash EAB'!$B$11)</f>
        <v/>
      </c>
      <c r="M123" s="54" t="str">
        <f aca="false">IF(N(D123)=0,"",L123*ROUNDUP('Ash EAB'!$B$17/'Ash EAB'!$B$12,0))</f>
        <v/>
      </c>
      <c r="N123" s="54" t="str">
        <f aca="false">IF(N(D123)=0,"",D123*'Ash EAB'!$B$13+'Ash EAB'!$B$15)</f>
        <v/>
      </c>
      <c r="O123" s="54" t="str">
        <f aca="false">IF(N(D123)=0,"",D123*'Ash EAB'!$B$13*'Ash EAB'!$B$14+'Ash EAB'!$B$15)</f>
        <v/>
      </c>
      <c r="P123" s="47" t="str">
        <f aca="false">IF(N(D123)=0,"",IF(M123&lt;N123,"Treat","Replace"))</f>
        <v/>
      </c>
      <c r="Q123" s="43"/>
      <c r="R123" s="37"/>
      <c r="S123" s="37" t="str">
        <f aca="false">IF(R123="","",EDATE(R123,ROUND('Ash EAB'!$B$12*12,0)))</f>
        <v/>
      </c>
      <c r="T123" s="47"/>
      <c r="U123" s="12"/>
    </row>
    <row r="124" customFormat="false" ht="15" hidden="false" customHeight="true" outlineLevel="0" collapsed="false">
      <c r="A124" s="43"/>
      <c r="B124" s="81"/>
      <c r="C124" s="12"/>
      <c r="D124" s="42"/>
      <c r="E124" s="85"/>
      <c r="F124" s="47"/>
      <c r="G124" s="47"/>
      <c r="H124" s="47"/>
      <c r="I124" s="47"/>
      <c r="J124" s="12" t="str">
        <f aca="false">IF(N(D124)=0,"",IF(N(E124)&gt;0.5,IF(I124="Y","REMOVE NOW: target at risk","REMOVE NOW"),IF(N(E124)&gt;=0.3,"GRAY ZONE: assess structure",IF(G124="High","TREAT",IF(F124="Y","REMOVE AND REPLACE","PLANT FIRST, REMOVE LATER")))))</f>
        <v/>
      </c>
      <c r="K124" s="12" t="str">
        <f aca="false">IF(N(D124)=0,"",IF(J124="TREAT","Successor if space: ","")&amp;IF(H124="Wet","Quercus bicolor or Malus fusca",IF(H124="Riparian","Natives only: Malus fusca, Salix, Q. garryana on edges",IF(H124="Upland","Quercus garryana or Q. macrocarpa","Set site type"))))</f>
        <v/>
      </c>
      <c r="L124" s="54" t="str">
        <f aca="false">IF(N(D124)=0,"",D124*'Ash EAB'!$B$11)</f>
        <v/>
      </c>
      <c r="M124" s="54" t="str">
        <f aca="false">IF(N(D124)=0,"",L124*ROUNDUP('Ash EAB'!$B$17/'Ash EAB'!$B$12,0))</f>
        <v/>
      </c>
      <c r="N124" s="54" t="str">
        <f aca="false">IF(N(D124)=0,"",D124*'Ash EAB'!$B$13+'Ash EAB'!$B$15)</f>
        <v/>
      </c>
      <c r="O124" s="54" t="str">
        <f aca="false">IF(N(D124)=0,"",D124*'Ash EAB'!$B$13*'Ash EAB'!$B$14+'Ash EAB'!$B$15)</f>
        <v/>
      </c>
      <c r="P124" s="47" t="str">
        <f aca="false">IF(N(D124)=0,"",IF(M124&lt;N124,"Treat","Replace"))</f>
        <v/>
      </c>
      <c r="Q124" s="43"/>
      <c r="R124" s="37"/>
      <c r="S124" s="37" t="str">
        <f aca="false">IF(R124="","",EDATE(R124,ROUND('Ash EAB'!$B$12*12,0)))</f>
        <v/>
      </c>
      <c r="T124" s="47"/>
      <c r="U124" s="12"/>
    </row>
    <row r="125" customFormat="false" ht="15" hidden="false" customHeight="true" outlineLevel="0" collapsed="false">
      <c r="A125" s="43"/>
      <c r="B125" s="81"/>
      <c r="C125" s="12"/>
      <c r="D125" s="42"/>
      <c r="E125" s="85"/>
      <c r="F125" s="47"/>
      <c r="G125" s="47"/>
      <c r="H125" s="47"/>
      <c r="I125" s="47"/>
      <c r="J125" s="12" t="str">
        <f aca="false">IF(N(D125)=0,"",IF(N(E125)&gt;0.5,IF(I125="Y","REMOVE NOW: target at risk","REMOVE NOW"),IF(N(E125)&gt;=0.3,"GRAY ZONE: assess structure",IF(G125="High","TREAT",IF(F125="Y","REMOVE AND REPLACE","PLANT FIRST, REMOVE LATER")))))</f>
        <v/>
      </c>
      <c r="K125" s="12" t="str">
        <f aca="false">IF(N(D125)=0,"",IF(J125="TREAT","Successor if space: ","")&amp;IF(H125="Wet","Quercus bicolor or Malus fusca",IF(H125="Riparian","Natives only: Malus fusca, Salix, Q. garryana on edges",IF(H125="Upland","Quercus garryana or Q. macrocarpa","Set site type"))))</f>
        <v/>
      </c>
      <c r="L125" s="54" t="str">
        <f aca="false">IF(N(D125)=0,"",D125*'Ash EAB'!$B$11)</f>
        <v/>
      </c>
      <c r="M125" s="54" t="str">
        <f aca="false">IF(N(D125)=0,"",L125*ROUNDUP('Ash EAB'!$B$17/'Ash EAB'!$B$12,0))</f>
        <v/>
      </c>
      <c r="N125" s="54" t="str">
        <f aca="false">IF(N(D125)=0,"",D125*'Ash EAB'!$B$13+'Ash EAB'!$B$15)</f>
        <v/>
      </c>
      <c r="O125" s="54" t="str">
        <f aca="false">IF(N(D125)=0,"",D125*'Ash EAB'!$B$13*'Ash EAB'!$B$14+'Ash EAB'!$B$15)</f>
        <v/>
      </c>
      <c r="P125" s="47" t="str">
        <f aca="false">IF(N(D125)=0,"",IF(M125&lt;N125,"Treat","Replace"))</f>
        <v/>
      </c>
      <c r="Q125" s="43"/>
      <c r="R125" s="37"/>
      <c r="S125" s="37" t="str">
        <f aca="false">IF(R125="","",EDATE(R125,ROUND('Ash EAB'!$B$12*12,0)))</f>
        <v/>
      </c>
      <c r="T125" s="47"/>
      <c r="U125" s="12"/>
    </row>
    <row r="126" customFormat="false" ht="15" hidden="false" customHeight="true" outlineLevel="0" collapsed="false">
      <c r="A126" s="43"/>
      <c r="B126" s="81"/>
      <c r="C126" s="12"/>
      <c r="D126" s="42"/>
      <c r="E126" s="85"/>
      <c r="F126" s="47"/>
      <c r="G126" s="47"/>
      <c r="H126" s="47"/>
      <c r="I126" s="47"/>
      <c r="J126" s="12" t="str">
        <f aca="false">IF(N(D126)=0,"",IF(N(E126)&gt;0.5,IF(I126="Y","REMOVE NOW: target at risk","REMOVE NOW"),IF(N(E126)&gt;=0.3,"GRAY ZONE: assess structure",IF(G126="High","TREAT",IF(F126="Y","REMOVE AND REPLACE","PLANT FIRST, REMOVE LATER")))))</f>
        <v/>
      </c>
      <c r="K126" s="12" t="str">
        <f aca="false">IF(N(D126)=0,"",IF(J126="TREAT","Successor if space: ","")&amp;IF(H126="Wet","Quercus bicolor or Malus fusca",IF(H126="Riparian","Natives only: Malus fusca, Salix, Q. garryana on edges",IF(H126="Upland","Quercus garryana or Q. macrocarpa","Set site type"))))</f>
        <v/>
      </c>
      <c r="L126" s="54" t="str">
        <f aca="false">IF(N(D126)=0,"",D126*'Ash EAB'!$B$11)</f>
        <v/>
      </c>
      <c r="M126" s="54" t="str">
        <f aca="false">IF(N(D126)=0,"",L126*ROUNDUP('Ash EAB'!$B$17/'Ash EAB'!$B$12,0))</f>
        <v/>
      </c>
      <c r="N126" s="54" t="str">
        <f aca="false">IF(N(D126)=0,"",D126*'Ash EAB'!$B$13+'Ash EAB'!$B$15)</f>
        <v/>
      </c>
      <c r="O126" s="54" t="str">
        <f aca="false">IF(N(D126)=0,"",D126*'Ash EAB'!$B$13*'Ash EAB'!$B$14+'Ash EAB'!$B$15)</f>
        <v/>
      </c>
      <c r="P126" s="47" t="str">
        <f aca="false">IF(N(D126)=0,"",IF(M126&lt;N126,"Treat","Replace"))</f>
        <v/>
      </c>
      <c r="Q126" s="43"/>
      <c r="R126" s="37"/>
      <c r="S126" s="37" t="str">
        <f aca="false">IF(R126="","",EDATE(R126,ROUND('Ash EAB'!$B$12*12,0)))</f>
        <v/>
      </c>
      <c r="T126" s="47"/>
      <c r="U126" s="12"/>
    </row>
    <row r="127" customFormat="false" ht="15" hidden="false" customHeight="true" outlineLevel="0" collapsed="false">
      <c r="A127" s="43"/>
      <c r="B127" s="81"/>
      <c r="C127" s="12"/>
      <c r="D127" s="42"/>
      <c r="E127" s="85"/>
      <c r="F127" s="47"/>
      <c r="G127" s="47"/>
      <c r="H127" s="47"/>
      <c r="I127" s="47"/>
      <c r="J127" s="12" t="str">
        <f aca="false">IF(N(D127)=0,"",IF(N(E127)&gt;0.5,IF(I127="Y","REMOVE NOW: target at risk","REMOVE NOW"),IF(N(E127)&gt;=0.3,"GRAY ZONE: assess structure",IF(G127="High","TREAT",IF(F127="Y","REMOVE AND REPLACE","PLANT FIRST, REMOVE LATER")))))</f>
        <v/>
      </c>
      <c r="K127" s="12" t="str">
        <f aca="false">IF(N(D127)=0,"",IF(J127="TREAT","Successor if space: ","")&amp;IF(H127="Wet","Quercus bicolor or Malus fusca",IF(H127="Riparian","Natives only: Malus fusca, Salix, Q. garryana on edges",IF(H127="Upland","Quercus garryana or Q. macrocarpa","Set site type"))))</f>
        <v/>
      </c>
      <c r="L127" s="54" t="str">
        <f aca="false">IF(N(D127)=0,"",D127*'Ash EAB'!$B$11)</f>
        <v/>
      </c>
      <c r="M127" s="54" t="str">
        <f aca="false">IF(N(D127)=0,"",L127*ROUNDUP('Ash EAB'!$B$17/'Ash EAB'!$B$12,0))</f>
        <v/>
      </c>
      <c r="N127" s="54" t="str">
        <f aca="false">IF(N(D127)=0,"",D127*'Ash EAB'!$B$13+'Ash EAB'!$B$15)</f>
        <v/>
      </c>
      <c r="O127" s="54" t="str">
        <f aca="false">IF(N(D127)=0,"",D127*'Ash EAB'!$B$13*'Ash EAB'!$B$14+'Ash EAB'!$B$15)</f>
        <v/>
      </c>
      <c r="P127" s="47" t="str">
        <f aca="false">IF(N(D127)=0,"",IF(M127&lt;N127,"Treat","Replace"))</f>
        <v/>
      </c>
      <c r="Q127" s="43"/>
      <c r="R127" s="37"/>
      <c r="S127" s="37" t="str">
        <f aca="false">IF(R127="","",EDATE(R127,ROUND('Ash EAB'!$B$12*12,0)))</f>
        <v/>
      </c>
      <c r="T127" s="47"/>
      <c r="U127" s="12"/>
    </row>
    <row r="128" customFormat="false" ht="15" hidden="false" customHeight="true" outlineLevel="0" collapsed="false">
      <c r="A128" s="43"/>
      <c r="B128" s="81"/>
      <c r="C128" s="12"/>
      <c r="D128" s="42"/>
      <c r="E128" s="85"/>
      <c r="F128" s="47"/>
      <c r="G128" s="47"/>
      <c r="H128" s="47"/>
      <c r="I128" s="47"/>
      <c r="J128" s="12" t="str">
        <f aca="false">IF(N(D128)=0,"",IF(N(E128)&gt;0.5,IF(I128="Y","REMOVE NOW: target at risk","REMOVE NOW"),IF(N(E128)&gt;=0.3,"GRAY ZONE: assess structure",IF(G128="High","TREAT",IF(F128="Y","REMOVE AND REPLACE","PLANT FIRST, REMOVE LATER")))))</f>
        <v/>
      </c>
      <c r="K128" s="12" t="str">
        <f aca="false">IF(N(D128)=0,"",IF(J128="TREAT","Successor if space: ","")&amp;IF(H128="Wet","Quercus bicolor or Malus fusca",IF(H128="Riparian","Natives only: Malus fusca, Salix, Q. garryana on edges",IF(H128="Upland","Quercus garryana or Q. macrocarpa","Set site type"))))</f>
        <v/>
      </c>
      <c r="L128" s="54" t="str">
        <f aca="false">IF(N(D128)=0,"",D128*'Ash EAB'!$B$11)</f>
        <v/>
      </c>
      <c r="M128" s="54" t="str">
        <f aca="false">IF(N(D128)=0,"",L128*ROUNDUP('Ash EAB'!$B$17/'Ash EAB'!$B$12,0))</f>
        <v/>
      </c>
      <c r="N128" s="54" t="str">
        <f aca="false">IF(N(D128)=0,"",D128*'Ash EAB'!$B$13+'Ash EAB'!$B$15)</f>
        <v/>
      </c>
      <c r="O128" s="54" t="str">
        <f aca="false">IF(N(D128)=0,"",D128*'Ash EAB'!$B$13*'Ash EAB'!$B$14+'Ash EAB'!$B$15)</f>
        <v/>
      </c>
      <c r="P128" s="47" t="str">
        <f aca="false">IF(N(D128)=0,"",IF(M128&lt;N128,"Treat","Replace"))</f>
        <v/>
      </c>
      <c r="Q128" s="43"/>
      <c r="R128" s="37"/>
      <c r="S128" s="37" t="str">
        <f aca="false">IF(R128="","",EDATE(R128,ROUND('Ash EAB'!$B$12*12,0)))</f>
        <v/>
      </c>
      <c r="T128" s="47"/>
      <c r="U128" s="12"/>
    </row>
    <row r="129" customFormat="false" ht="15" hidden="false" customHeight="true" outlineLevel="0" collapsed="false">
      <c r="A129" s="43"/>
      <c r="B129" s="81"/>
      <c r="C129" s="12"/>
      <c r="D129" s="42"/>
      <c r="E129" s="85"/>
      <c r="F129" s="47"/>
      <c r="G129" s="47"/>
      <c r="H129" s="47"/>
      <c r="I129" s="47"/>
      <c r="J129" s="12" t="str">
        <f aca="false">IF(N(D129)=0,"",IF(N(E129)&gt;0.5,IF(I129="Y","REMOVE NOW: target at risk","REMOVE NOW"),IF(N(E129)&gt;=0.3,"GRAY ZONE: assess structure",IF(G129="High","TREAT",IF(F129="Y","REMOVE AND REPLACE","PLANT FIRST, REMOVE LATER")))))</f>
        <v/>
      </c>
      <c r="K129" s="12" t="str">
        <f aca="false">IF(N(D129)=0,"",IF(J129="TREAT","Successor if space: ","")&amp;IF(H129="Wet","Quercus bicolor or Malus fusca",IF(H129="Riparian","Natives only: Malus fusca, Salix, Q. garryana on edges",IF(H129="Upland","Quercus garryana or Q. macrocarpa","Set site type"))))</f>
        <v/>
      </c>
      <c r="L129" s="54" t="str">
        <f aca="false">IF(N(D129)=0,"",D129*'Ash EAB'!$B$11)</f>
        <v/>
      </c>
      <c r="M129" s="54" t="str">
        <f aca="false">IF(N(D129)=0,"",L129*ROUNDUP('Ash EAB'!$B$17/'Ash EAB'!$B$12,0))</f>
        <v/>
      </c>
      <c r="N129" s="54" t="str">
        <f aca="false">IF(N(D129)=0,"",D129*'Ash EAB'!$B$13+'Ash EAB'!$B$15)</f>
        <v/>
      </c>
      <c r="O129" s="54" t="str">
        <f aca="false">IF(N(D129)=0,"",D129*'Ash EAB'!$B$13*'Ash EAB'!$B$14+'Ash EAB'!$B$15)</f>
        <v/>
      </c>
      <c r="P129" s="47" t="str">
        <f aca="false">IF(N(D129)=0,"",IF(M129&lt;N129,"Treat","Replace"))</f>
        <v/>
      </c>
      <c r="Q129" s="43"/>
      <c r="R129" s="37"/>
      <c r="S129" s="37" t="str">
        <f aca="false">IF(R129="","",EDATE(R129,ROUND('Ash EAB'!$B$12*12,0)))</f>
        <v/>
      </c>
      <c r="T129" s="47"/>
      <c r="U129" s="12"/>
    </row>
    <row r="130" customFormat="false" ht="15" hidden="false" customHeight="true" outlineLevel="0" collapsed="false">
      <c r="A130" s="43"/>
      <c r="B130" s="81"/>
      <c r="C130" s="12"/>
      <c r="D130" s="42"/>
      <c r="E130" s="85"/>
      <c r="F130" s="47"/>
      <c r="G130" s="47"/>
      <c r="H130" s="47"/>
      <c r="I130" s="47"/>
      <c r="J130" s="12" t="str">
        <f aca="false">IF(N(D130)=0,"",IF(N(E130)&gt;0.5,IF(I130="Y","REMOVE NOW: target at risk","REMOVE NOW"),IF(N(E130)&gt;=0.3,"GRAY ZONE: assess structure",IF(G130="High","TREAT",IF(F130="Y","REMOVE AND REPLACE","PLANT FIRST, REMOVE LATER")))))</f>
        <v/>
      </c>
      <c r="K130" s="12" t="str">
        <f aca="false">IF(N(D130)=0,"",IF(J130="TREAT","Successor if space: ","")&amp;IF(H130="Wet","Quercus bicolor or Malus fusca",IF(H130="Riparian","Natives only: Malus fusca, Salix, Q. garryana on edges",IF(H130="Upland","Quercus garryana or Q. macrocarpa","Set site type"))))</f>
        <v/>
      </c>
      <c r="L130" s="54" t="str">
        <f aca="false">IF(N(D130)=0,"",D130*'Ash EAB'!$B$11)</f>
        <v/>
      </c>
      <c r="M130" s="54" t="str">
        <f aca="false">IF(N(D130)=0,"",L130*ROUNDUP('Ash EAB'!$B$17/'Ash EAB'!$B$12,0))</f>
        <v/>
      </c>
      <c r="N130" s="54" t="str">
        <f aca="false">IF(N(D130)=0,"",D130*'Ash EAB'!$B$13+'Ash EAB'!$B$15)</f>
        <v/>
      </c>
      <c r="O130" s="54" t="str">
        <f aca="false">IF(N(D130)=0,"",D130*'Ash EAB'!$B$13*'Ash EAB'!$B$14+'Ash EAB'!$B$15)</f>
        <v/>
      </c>
      <c r="P130" s="47" t="str">
        <f aca="false">IF(N(D130)=0,"",IF(M130&lt;N130,"Treat","Replace"))</f>
        <v/>
      </c>
      <c r="Q130" s="43"/>
      <c r="R130" s="37"/>
      <c r="S130" s="37" t="str">
        <f aca="false">IF(R130="","",EDATE(R130,ROUND('Ash EAB'!$B$12*12,0)))</f>
        <v/>
      </c>
      <c r="T130" s="47"/>
      <c r="U130" s="12"/>
    </row>
    <row r="131" customFormat="false" ht="15" hidden="false" customHeight="true" outlineLevel="0" collapsed="false">
      <c r="A131" s="43"/>
      <c r="B131" s="81"/>
      <c r="C131" s="12"/>
      <c r="D131" s="42"/>
      <c r="E131" s="85"/>
      <c r="F131" s="47"/>
      <c r="G131" s="47"/>
      <c r="H131" s="47"/>
      <c r="I131" s="47"/>
      <c r="J131" s="12" t="str">
        <f aca="false">IF(N(D131)=0,"",IF(N(E131)&gt;0.5,IF(I131="Y","REMOVE NOW: target at risk","REMOVE NOW"),IF(N(E131)&gt;=0.3,"GRAY ZONE: assess structure",IF(G131="High","TREAT",IF(F131="Y","REMOVE AND REPLACE","PLANT FIRST, REMOVE LATER")))))</f>
        <v/>
      </c>
      <c r="K131" s="12" t="str">
        <f aca="false">IF(N(D131)=0,"",IF(J131="TREAT","Successor if space: ","")&amp;IF(H131="Wet","Quercus bicolor or Malus fusca",IF(H131="Riparian","Natives only: Malus fusca, Salix, Q. garryana on edges",IF(H131="Upland","Quercus garryana or Q. macrocarpa","Set site type"))))</f>
        <v/>
      </c>
      <c r="L131" s="54" t="str">
        <f aca="false">IF(N(D131)=0,"",D131*'Ash EAB'!$B$11)</f>
        <v/>
      </c>
      <c r="M131" s="54" t="str">
        <f aca="false">IF(N(D131)=0,"",L131*ROUNDUP('Ash EAB'!$B$17/'Ash EAB'!$B$12,0))</f>
        <v/>
      </c>
      <c r="N131" s="54" t="str">
        <f aca="false">IF(N(D131)=0,"",D131*'Ash EAB'!$B$13+'Ash EAB'!$B$15)</f>
        <v/>
      </c>
      <c r="O131" s="54" t="str">
        <f aca="false">IF(N(D131)=0,"",D131*'Ash EAB'!$B$13*'Ash EAB'!$B$14+'Ash EAB'!$B$15)</f>
        <v/>
      </c>
      <c r="P131" s="47" t="str">
        <f aca="false">IF(N(D131)=0,"",IF(M131&lt;N131,"Treat","Replace"))</f>
        <v/>
      </c>
      <c r="Q131" s="43"/>
      <c r="R131" s="37"/>
      <c r="S131" s="37" t="str">
        <f aca="false">IF(R131="","",EDATE(R131,ROUND('Ash EAB'!$B$12*12,0)))</f>
        <v/>
      </c>
      <c r="T131" s="47"/>
      <c r="U131" s="12"/>
    </row>
    <row r="132" customFormat="false" ht="15" hidden="false" customHeight="true" outlineLevel="0" collapsed="false">
      <c r="A132" s="43"/>
      <c r="B132" s="81"/>
      <c r="C132" s="12"/>
      <c r="D132" s="42"/>
      <c r="E132" s="85"/>
      <c r="F132" s="47"/>
      <c r="G132" s="47"/>
      <c r="H132" s="47"/>
      <c r="I132" s="47"/>
      <c r="J132" s="12" t="str">
        <f aca="false">IF(N(D132)=0,"",IF(N(E132)&gt;0.5,IF(I132="Y","REMOVE NOW: target at risk","REMOVE NOW"),IF(N(E132)&gt;=0.3,"GRAY ZONE: assess structure",IF(G132="High","TREAT",IF(F132="Y","REMOVE AND REPLACE","PLANT FIRST, REMOVE LATER")))))</f>
        <v/>
      </c>
      <c r="K132" s="12" t="str">
        <f aca="false">IF(N(D132)=0,"",IF(J132="TREAT","Successor if space: ","")&amp;IF(H132="Wet","Quercus bicolor or Malus fusca",IF(H132="Riparian","Natives only: Malus fusca, Salix, Q. garryana on edges",IF(H132="Upland","Quercus garryana or Q. macrocarpa","Set site type"))))</f>
        <v/>
      </c>
      <c r="L132" s="54" t="str">
        <f aca="false">IF(N(D132)=0,"",D132*'Ash EAB'!$B$11)</f>
        <v/>
      </c>
      <c r="M132" s="54" t="str">
        <f aca="false">IF(N(D132)=0,"",L132*ROUNDUP('Ash EAB'!$B$17/'Ash EAB'!$B$12,0))</f>
        <v/>
      </c>
      <c r="N132" s="54" t="str">
        <f aca="false">IF(N(D132)=0,"",D132*'Ash EAB'!$B$13+'Ash EAB'!$B$15)</f>
        <v/>
      </c>
      <c r="O132" s="54" t="str">
        <f aca="false">IF(N(D132)=0,"",D132*'Ash EAB'!$B$13*'Ash EAB'!$B$14+'Ash EAB'!$B$15)</f>
        <v/>
      </c>
      <c r="P132" s="47" t="str">
        <f aca="false">IF(N(D132)=0,"",IF(M132&lt;N132,"Treat","Replace"))</f>
        <v/>
      </c>
      <c r="Q132" s="43"/>
      <c r="R132" s="37"/>
      <c r="S132" s="37" t="str">
        <f aca="false">IF(R132="","",EDATE(R132,ROUND('Ash EAB'!$B$12*12,0)))</f>
        <v/>
      </c>
      <c r="T132" s="47"/>
      <c r="U132" s="12"/>
    </row>
    <row r="133" customFormat="false" ht="15" hidden="false" customHeight="true" outlineLevel="0" collapsed="false">
      <c r="A133" s="43"/>
      <c r="B133" s="81"/>
      <c r="C133" s="12"/>
      <c r="D133" s="42"/>
      <c r="E133" s="85"/>
      <c r="F133" s="47"/>
      <c r="G133" s="47"/>
      <c r="H133" s="47"/>
      <c r="I133" s="47"/>
      <c r="J133" s="12" t="str">
        <f aca="false">IF(N(D133)=0,"",IF(N(E133)&gt;0.5,IF(I133="Y","REMOVE NOW: target at risk","REMOVE NOW"),IF(N(E133)&gt;=0.3,"GRAY ZONE: assess structure",IF(G133="High","TREAT",IF(F133="Y","REMOVE AND REPLACE","PLANT FIRST, REMOVE LATER")))))</f>
        <v/>
      </c>
      <c r="K133" s="12" t="str">
        <f aca="false">IF(N(D133)=0,"",IF(J133="TREAT","Successor if space: ","")&amp;IF(H133="Wet","Quercus bicolor or Malus fusca",IF(H133="Riparian","Natives only: Malus fusca, Salix, Q. garryana on edges",IF(H133="Upland","Quercus garryana or Q. macrocarpa","Set site type"))))</f>
        <v/>
      </c>
      <c r="L133" s="54" t="str">
        <f aca="false">IF(N(D133)=0,"",D133*'Ash EAB'!$B$11)</f>
        <v/>
      </c>
      <c r="M133" s="54" t="str">
        <f aca="false">IF(N(D133)=0,"",L133*ROUNDUP('Ash EAB'!$B$17/'Ash EAB'!$B$12,0))</f>
        <v/>
      </c>
      <c r="N133" s="54" t="str">
        <f aca="false">IF(N(D133)=0,"",D133*'Ash EAB'!$B$13+'Ash EAB'!$B$15)</f>
        <v/>
      </c>
      <c r="O133" s="54" t="str">
        <f aca="false">IF(N(D133)=0,"",D133*'Ash EAB'!$B$13*'Ash EAB'!$B$14+'Ash EAB'!$B$15)</f>
        <v/>
      </c>
      <c r="P133" s="47" t="str">
        <f aca="false">IF(N(D133)=0,"",IF(M133&lt;N133,"Treat","Replace"))</f>
        <v/>
      </c>
      <c r="Q133" s="43"/>
      <c r="R133" s="37"/>
      <c r="S133" s="37" t="str">
        <f aca="false">IF(R133="","",EDATE(R133,ROUND('Ash EAB'!$B$12*12,0)))</f>
        <v/>
      </c>
      <c r="T133" s="47"/>
      <c r="U133" s="12"/>
    </row>
    <row r="134" customFormat="false" ht="15" hidden="false" customHeight="true" outlineLevel="0" collapsed="false">
      <c r="A134" s="43"/>
      <c r="B134" s="81"/>
      <c r="C134" s="12"/>
      <c r="D134" s="42"/>
      <c r="E134" s="85"/>
      <c r="F134" s="47"/>
      <c r="G134" s="47"/>
      <c r="H134" s="47"/>
      <c r="I134" s="47"/>
      <c r="J134" s="12" t="str">
        <f aca="false">IF(N(D134)=0,"",IF(N(E134)&gt;0.5,IF(I134="Y","REMOVE NOW: target at risk","REMOVE NOW"),IF(N(E134)&gt;=0.3,"GRAY ZONE: assess structure",IF(G134="High","TREAT",IF(F134="Y","REMOVE AND REPLACE","PLANT FIRST, REMOVE LATER")))))</f>
        <v/>
      </c>
      <c r="K134" s="12" t="str">
        <f aca="false">IF(N(D134)=0,"",IF(J134="TREAT","Successor if space: ","")&amp;IF(H134="Wet","Quercus bicolor or Malus fusca",IF(H134="Riparian","Natives only: Malus fusca, Salix, Q. garryana on edges",IF(H134="Upland","Quercus garryana or Q. macrocarpa","Set site type"))))</f>
        <v/>
      </c>
      <c r="L134" s="54" t="str">
        <f aca="false">IF(N(D134)=0,"",D134*'Ash EAB'!$B$11)</f>
        <v/>
      </c>
      <c r="M134" s="54" t="str">
        <f aca="false">IF(N(D134)=0,"",L134*ROUNDUP('Ash EAB'!$B$17/'Ash EAB'!$B$12,0))</f>
        <v/>
      </c>
      <c r="N134" s="54" t="str">
        <f aca="false">IF(N(D134)=0,"",D134*'Ash EAB'!$B$13+'Ash EAB'!$B$15)</f>
        <v/>
      </c>
      <c r="O134" s="54" t="str">
        <f aca="false">IF(N(D134)=0,"",D134*'Ash EAB'!$B$13*'Ash EAB'!$B$14+'Ash EAB'!$B$15)</f>
        <v/>
      </c>
      <c r="P134" s="47" t="str">
        <f aca="false">IF(N(D134)=0,"",IF(M134&lt;N134,"Treat","Replace"))</f>
        <v/>
      </c>
      <c r="Q134" s="43"/>
      <c r="R134" s="37"/>
      <c r="S134" s="37" t="str">
        <f aca="false">IF(R134="","",EDATE(R134,ROUND('Ash EAB'!$B$12*12,0)))</f>
        <v/>
      </c>
      <c r="T134" s="47"/>
      <c r="U134" s="12"/>
    </row>
    <row r="135" customFormat="false" ht="15" hidden="false" customHeight="true" outlineLevel="0" collapsed="false">
      <c r="A135" s="43"/>
      <c r="B135" s="81"/>
      <c r="C135" s="12"/>
      <c r="D135" s="42"/>
      <c r="E135" s="85"/>
      <c r="F135" s="47"/>
      <c r="G135" s="47"/>
      <c r="H135" s="47"/>
      <c r="I135" s="47"/>
      <c r="J135" s="12" t="str">
        <f aca="false">IF(N(D135)=0,"",IF(N(E135)&gt;0.5,IF(I135="Y","REMOVE NOW: target at risk","REMOVE NOW"),IF(N(E135)&gt;=0.3,"GRAY ZONE: assess structure",IF(G135="High","TREAT",IF(F135="Y","REMOVE AND REPLACE","PLANT FIRST, REMOVE LATER")))))</f>
        <v/>
      </c>
      <c r="K135" s="12" t="str">
        <f aca="false">IF(N(D135)=0,"",IF(J135="TREAT","Successor if space: ","")&amp;IF(H135="Wet","Quercus bicolor or Malus fusca",IF(H135="Riparian","Natives only: Malus fusca, Salix, Q. garryana on edges",IF(H135="Upland","Quercus garryana or Q. macrocarpa","Set site type"))))</f>
        <v/>
      </c>
      <c r="L135" s="54" t="str">
        <f aca="false">IF(N(D135)=0,"",D135*'Ash EAB'!$B$11)</f>
        <v/>
      </c>
      <c r="M135" s="54" t="str">
        <f aca="false">IF(N(D135)=0,"",L135*ROUNDUP('Ash EAB'!$B$17/'Ash EAB'!$B$12,0))</f>
        <v/>
      </c>
      <c r="N135" s="54" t="str">
        <f aca="false">IF(N(D135)=0,"",D135*'Ash EAB'!$B$13+'Ash EAB'!$B$15)</f>
        <v/>
      </c>
      <c r="O135" s="54" t="str">
        <f aca="false">IF(N(D135)=0,"",D135*'Ash EAB'!$B$13*'Ash EAB'!$B$14+'Ash EAB'!$B$15)</f>
        <v/>
      </c>
      <c r="P135" s="47" t="str">
        <f aca="false">IF(N(D135)=0,"",IF(M135&lt;N135,"Treat","Replace"))</f>
        <v/>
      </c>
      <c r="Q135" s="43"/>
      <c r="R135" s="37"/>
      <c r="S135" s="37" t="str">
        <f aca="false">IF(R135="","",EDATE(R135,ROUND('Ash EAB'!$B$12*12,0)))</f>
        <v/>
      </c>
      <c r="T135" s="47"/>
      <c r="U135" s="12"/>
    </row>
    <row r="136" customFormat="false" ht="15" hidden="false" customHeight="true" outlineLevel="0" collapsed="false">
      <c r="A136" s="43"/>
      <c r="B136" s="81"/>
      <c r="C136" s="12"/>
      <c r="D136" s="42"/>
      <c r="E136" s="85"/>
      <c r="F136" s="47"/>
      <c r="G136" s="47"/>
      <c r="H136" s="47"/>
      <c r="I136" s="47"/>
      <c r="J136" s="12" t="str">
        <f aca="false">IF(N(D136)=0,"",IF(N(E136)&gt;0.5,IF(I136="Y","REMOVE NOW: target at risk","REMOVE NOW"),IF(N(E136)&gt;=0.3,"GRAY ZONE: assess structure",IF(G136="High","TREAT",IF(F136="Y","REMOVE AND REPLACE","PLANT FIRST, REMOVE LATER")))))</f>
        <v/>
      </c>
      <c r="K136" s="12" t="str">
        <f aca="false">IF(N(D136)=0,"",IF(J136="TREAT","Successor if space: ","")&amp;IF(H136="Wet","Quercus bicolor or Malus fusca",IF(H136="Riparian","Natives only: Malus fusca, Salix, Q. garryana on edges",IF(H136="Upland","Quercus garryana or Q. macrocarpa","Set site type"))))</f>
        <v/>
      </c>
      <c r="L136" s="54" t="str">
        <f aca="false">IF(N(D136)=0,"",D136*'Ash EAB'!$B$11)</f>
        <v/>
      </c>
      <c r="M136" s="54" t="str">
        <f aca="false">IF(N(D136)=0,"",L136*ROUNDUP('Ash EAB'!$B$17/'Ash EAB'!$B$12,0))</f>
        <v/>
      </c>
      <c r="N136" s="54" t="str">
        <f aca="false">IF(N(D136)=0,"",D136*'Ash EAB'!$B$13+'Ash EAB'!$B$15)</f>
        <v/>
      </c>
      <c r="O136" s="54" t="str">
        <f aca="false">IF(N(D136)=0,"",D136*'Ash EAB'!$B$13*'Ash EAB'!$B$14+'Ash EAB'!$B$15)</f>
        <v/>
      </c>
      <c r="P136" s="47" t="str">
        <f aca="false">IF(N(D136)=0,"",IF(M136&lt;N136,"Treat","Replace"))</f>
        <v/>
      </c>
      <c r="Q136" s="43"/>
      <c r="R136" s="37"/>
      <c r="S136" s="37" t="str">
        <f aca="false">IF(R136="","",EDATE(R136,ROUND('Ash EAB'!$B$12*12,0)))</f>
        <v/>
      </c>
      <c r="T136" s="47"/>
      <c r="U136" s="12"/>
    </row>
    <row r="137" customFormat="false" ht="15" hidden="false" customHeight="true" outlineLevel="0" collapsed="false">
      <c r="A137" s="43"/>
      <c r="B137" s="81"/>
      <c r="C137" s="12"/>
      <c r="D137" s="42"/>
      <c r="E137" s="85"/>
      <c r="F137" s="47"/>
      <c r="G137" s="47"/>
      <c r="H137" s="47"/>
      <c r="I137" s="47"/>
      <c r="J137" s="12" t="str">
        <f aca="false">IF(N(D137)=0,"",IF(N(E137)&gt;0.5,IF(I137="Y","REMOVE NOW: target at risk","REMOVE NOW"),IF(N(E137)&gt;=0.3,"GRAY ZONE: assess structure",IF(G137="High","TREAT",IF(F137="Y","REMOVE AND REPLACE","PLANT FIRST, REMOVE LATER")))))</f>
        <v/>
      </c>
      <c r="K137" s="12" t="str">
        <f aca="false">IF(N(D137)=0,"",IF(J137="TREAT","Successor if space: ","")&amp;IF(H137="Wet","Quercus bicolor or Malus fusca",IF(H137="Riparian","Natives only: Malus fusca, Salix, Q. garryana on edges",IF(H137="Upland","Quercus garryana or Q. macrocarpa","Set site type"))))</f>
        <v/>
      </c>
      <c r="L137" s="54" t="str">
        <f aca="false">IF(N(D137)=0,"",D137*'Ash EAB'!$B$11)</f>
        <v/>
      </c>
      <c r="M137" s="54" t="str">
        <f aca="false">IF(N(D137)=0,"",L137*ROUNDUP('Ash EAB'!$B$17/'Ash EAB'!$B$12,0))</f>
        <v/>
      </c>
      <c r="N137" s="54" t="str">
        <f aca="false">IF(N(D137)=0,"",D137*'Ash EAB'!$B$13+'Ash EAB'!$B$15)</f>
        <v/>
      </c>
      <c r="O137" s="54" t="str">
        <f aca="false">IF(N(D137)=0,"",D137*'Ash EAB'!$B$13*'Ash EAB'!$B$14+'Ash EAB'!$B$15)</f>
        <v/>
      </c>
      <c r="P137" s="47" t="str">
        <f aca="false">IF(N(D137)=0,"",IF(M137&lt;N137,"Treat","Replace"))</f>
        <v/>
      </c>
      <c r="Q137" s="43"/>
      <c r="R137" s="37"/>
      <c r="S137" s="37" t="str">
        <f aca="false">IF(R137="","",EDATE(R137,ROUND('Ash EAB'!$B$12*12,0)))</f>
        <v/>
      </c>
      <c r="T137" s="47"/>
      <c r="U137" s="12"/>
    </row>
    <row r="138" customFormat="false" ht="15" hidden="false" customHeight="true" outlineLevel="0" collapsed="false">
      <c r="A138" s="43"/>
      <c r="B138" s="81"/>
      <c r="C138" s="12"/>
      <c r="D138" s="42"/>
      <c r="E138" s="85"/>
      <c r="F138" s="47"/>
      <c r="G138" s="47"/>
      <c r="H138" s="47"/>
      <c r="I138" s="47"/>
      <c r="J138" s="12" t="str">
        <f aca="false">IF(N(D138)=0,"",IF(N(E138)&gt;0.5,IF(I138="Y","REMOVE NOW: target at risk","REMOVE NOW"),IF(N(E138)&gt;=0.3,"GRAY ZONE: assess structure",IF(G138="High","TREAT",IF(F138="Y","REMOVE AND REPLACE","PLANT FIRST, REMOVE LATER")))))</f>
        <v/>
      </c>
      <c r="K138" s="12" t="str">
        <f aca="false">IF(N(D138)=0,"",IF(J138="TREAT","Successor if space: ","")&amp;IF(H138="Wet","Quercus bicolor or Malus fusca",IF(H138="Riparian","Natives only: Malus fusca, Salix, Q. garryana on edges",IF(H138="Upland","Quercus garryana or Q. macrocarpa","Set site type"))))</f>
        <v/>
      </c>
      <c r="L138" s="54" t="str">
        <f aca="false">IF(N(D138)=0,"",D138*'Ash EAB'!$B$11)</f>
        <v/>
      </c>
      <c r="M138" s="54" t="str">
        <f aca="false">IF(N(D138)=0,"",L138*ROUNDUP('Ash EAB'!$B$17/'Ash EAB'!$B$12,0))</f>
        <v/>
      </c>
      <c r="N138" s="54" t="str">
        <f aca="false">IF(N(D138)=0,"",D138*'Ash EAB'!$B$13+'Ash EAB'!$B$15)</f>
        <v/>
      </c>
      <c r="O138" s="54" t="str">
        <f aca="false">IF(N(D138)=0,"",D138*'Ash EAB'!$B$13*'Ash EAB'!$B$14+'Ash EAB'!$B$15)</f>
        <v/>
      </c>
      <c r="P138" s="47" t="str">
        <f aca="false">IF(N(D138)=0,"",IF(M138&lt;N138,"Treat","Replace"))</f>
        <v/>
      </c>
      <c r="Q138" s="43"/>
      <c r="R138" s="37"/>
      <c r="S138" s="37" t="str">
        <f aca="false">IF(R138="","",EDATE(R138,ROUND('Ash EAB'!$B$12*12,0)))</f>
        <v/>
      </c>
      <c r="T138" s="47"/>
      <c r="U138" s="12"/>
    </row>
    <row r="139" customFormat="false" ht="15" hidden="false" customHeight="true" outlineLevel="0" collapsed="false">
      <c r="A139" s="43"/>
      <c r="B139" s="81"/>
      <c r="C139" s="12"/>
      <c r="D139" s="42"/>
      <c r="E139" s="85"/>
      <c r="F139" s="47"/>
      <c r="G139" s="47"/>
      <c r="H139" s="47"/>
      <c r="I139" s="47"/>
      <c r="J139" s="12" t="str">
        <f aca="false">IF(N(D139)=0,"",IF(N(E139)&gt;0.5,IF(I139="Y","REMOVE NOW: target at risk","REMOVE NOW"),IF(N(E139)&gt;=0.3,"GRAY ZONE: assess structure",IF(G139="High","TREAT",IF(F139="Y","REMOVE AND REPLACE","PLANT FIRST, REMOVE LATER")))))</f>
        <v/>
      </c>
      <c r="K139" s="12" t="str">
        <f aca="false">IF(N(D139)=0,"",IF(J139="TREAT","Successor if space: ","")&amp;IF(H139="Wet","Quercus bicolor or Malus fusca",IF(H139="Riparian","Natives only: Malus fusca, Salix, Q. garryana on edges",IF(H139="Upland","Quercus garryana or Q. macrocarpa","Set site type"))))</f>
        <v/>
      </c>
      <c r="L139" s="54" t="str">
        <f aca="false">IF(N(D139)=0,"",D139*'Ash EAB'!$B$11)</f>
        <v/>
      </c>
      <c r="M139" s="54" t="str">
        <f aca="false">IF(N(D139)=0,"",L139*ROUNDUP('Ash EAB'!$B$17/'Ash EAB'!$B$12,0))</f>
        <v/>
      </c>
      <c r="N139" s="54" t="str">
        <f aca="false">IF(N(D139)=0,"",D139*'Ash EAB'!$B$13+'Ash EAB'!$B$15)</f>
        <v/>
      </c>
      <c r="O139" s="54" t="str">
        <f aca="false">IF(N(D139)=0,"",D139*'Ash EAB'!$B$13*'Ash EAB'!$B$14+'Ash EAB'!$B$15)</f>
        <v/>
      </c>
      <c r="P139" s="47" t="str">
        <f aca="false">IF(N(D139)=0,"",IF(M139&lt;N139,"Treat","Replace"))</f>
        <v/>
      </c>
      <c r="Q139" s="43"/>
      <c r="R139" s="37"/>
      <c r="S139" s="37" t="str">
        <f aca="false">IF(R139="","",EDATE(R139,ROUND('Ash EAB'!$B$12*12,0)))</f>
        <v/>
      </c>
      <c r="T139" s="47"/>
      <c r="U139" s="12"/>
    </row>
    <row r="140" customFormat="false" ht="15" hidden="false" customHeight="true" outlineLevel="0" collapsed="false">
      <c r="A140" s="43"/>
      <c r="B140" s="81"/>
      <c r="C140" s="12"/>
      <c r="D140" s="42"/>
      <c r="E140" s="85"/>
      <c r="F140" s="47"/>
      <c r="G140" s="47"/>
      <c r="H140" s="47"/>
      <c r="I140" s="47"/>
      <c r="J140" s="12" t="str">
        <f aca="false">IF(N(D140)=0,"",IF(N(E140)&gt;0.5,IF(I140="Y","REMOVE NOW: target at risk","REMOVE NOW"),IF(N(E140)&gt;=0.3,"GRAY ZONE: assess structure",IF(G140="High","TREAT",IF(F140="Y","REMOVE AND REPLACE","PLANT FIRST, REMOVE LATER")))))</f>
        <v/>
      </c>
      <c r="K140" s="12" t="str">
        <f aca="false">IF(N(D140)=0,"",IF(J140="TREAT","Successor if space: ","")&amp;IF(H140="Wet","Quercus bicolor or Malus fusca",IF(H140="Riparian","Natives only: Malus fusca, Salix, Q. garryana on edges",IF(H140="Upland","Quercus garryana or Q. macrocarpa","Set site type"))))</f>
        <v/>
      </c>
      <c r="L140" s="54" t="str">
        <f aca="false">IF(N(D140)=0,"",D140*'Ash EAB'!$B$11)</f>
        <v/>
      </c>
      <c r="M140" s="54" t="str">
        <f aca="false">IF(N(D140)=0,"",L140*ROUNDUP('Ash EAB'!$B$17/'Ash EAB'!$B$12,0))</f>
        <v/>
      </c>
      <c r="N140" s="54" t="str">
        <f aca="false">IF(N(D140)=0,"",D140*'Ash EAB'!$B$13+'Ash EAB'!$B$15)</f>
        <v/>
      </c>
      <c r="O140" s="54" t="str">
        <f aca="false">IF(N(D140)=0,"",D140*'Ash EAB'!$B$13*'Ash EAB'!$B$14+'Ash EAB'!$B$15)</f>
        <v/>
      </c>
      <c r="P140" s="47" t="str">
        <f aca="false">IF(N(D140)=0,"",IF(M140&lt;N140,"Treat","Replace"))</f>
        <v/>
      </c>
      <c r="Q140" s="43"/>
      <c r="R140" s="37"/>
      <c r="S140" s="37" t="str">
        <f aca="false">IF(R140="","",EDATE(R140,ROUND('Ash EAB'!$B$12*12,0)))</f>
        <v/>
      </c>
      <c r="T140" s="47"/>
      <c r="U140" s="12"/>
    </row>
    <row r="141" customFormat="false" ht="15" hidden="false" customHeight="true" outlineLevel="0" collapsed="false">
      <c r="A141" s="43"/>
      <c r="B141" s="81"/>
      <c r="C141" s="12"/>
      <c r="D141" s="42"/>
      <c r="E141" s="85"/>
      <c r="F141" s="47"/>
      <c r="G141" s="47"/>
      <c r="H141" s="47"/>
      <c r="I141" s="47"/>
      <c r="J141" s="12" t="str">
        <f aca="false">IF(N(D141)=0,"",IF(N(E141)&gt;0.5,IF(I141="Y","REMOVE NOW: target at risk","REMOVE NOW"),IF(N(E141)&gt;=0.3,"GRAY ZONE: assess structure",IF(G141="High","TREAT",IF(F141="Y","REMOVE AND REPLACE","PLANT FIRST, REMOVE LATER")))))</f>
        <v/>
      </c>
      <c r="K141" s="12" t="str">
        <f aca="false">IF(N(D141)=0,"",IF(J141="TREAT","Successor if space: ","")&amp;IF(H141="Wet","Quercus bicolor or Malus fusca",IF(H141="Riparian","Natives only: Malus fusca, Salix, Q. garryana on edges",IF(H141="Upland","Quercus garryana or Q. macrocarpa","Set site type"))))</f>
        <v/>
      </c>
      <c r="L141" s="54" t="str">
        <f aca="false">IF(N(D141)=0,"",D141*'Ash EAB'!$B$11)</f>
        <v/>
      </c>
      <c r="M141" s="54" t="str">
        <f aca="false">IF(N(D141)=0,"",L141*ROUNDUP('Ash EAB'!$B$17/'Ash EAB'!$B$12,0))</f>
        <v/>
      </c>
      <c r="N141" s="54" t="str">
        <f aca="false">IF(N(D141)=0,"",D141*'Ash EAB'!$B$13+'Ash EAB'!$B$15)</f>
        <v/>
      </c>
      <c r="O141" s="54" t="str">
        <f aca="false">IF(N(D141)=0,"",D141*'Ash EAB'!$B$13*'Ash EAB'!$B$14+'Ash EAB'!$B$15)</f>
        <v/>
      </c>
      <c r="P141" s="47" t="str">
        <f aca="false">IF(N(D141)=0,"",IF(M141&lt;N141,"Treat","Replace"))</f>
        <v/>
      </c>
      <c r="Q141" s="43"/>
      <c r="R141" s="37"/>
      <c r="S141" s="37" t="str">
        <f aca="false">IF(R141="","",EDATE(R141,ROUND('Ash EAB'!$B$12*12,0)))</f>
        <v/>
      </c>
      <c r="T141" s="47"/>
      <c r="U141" s="12"/>
    </row>
    <row r="142" customFormat="false" ht="15" hidden="false" customHeight="true" outlineLevel="0" collapsed="false">
      <c r="A142" s="43"/>
      <c r="B142" s="81"/>
      <c r="C142" s="12"/>
      <c r="D142" s="42"/>
      <c r="E142" s="85"/>
      <c r="F142" s="47"/>
      <c r="G142" s="47"/>
      <c r="H142" s="47"/>
      <c r="I142" s="47"/>
      <c r="J142" s="12" t="str">
        <f aca="false">IF(N(D142)=0,"",IF(N(E142)&gt;0.5,IF(I142="Y","REMOVE NOW: target at risk","REMOVE NOW"),IF(N(E142)&gt;=0.3,"GRAY ZONE: assess structure",IF(G142="High","TREAT",IF(F142="Y","REMOVE AND REPLACE","PLANT FIRST, REMOVE LATER")))))</f>
        <v/>
      </c>
      <c r="K142" s="12" t="str">
        <f aca="false">IF(N(D142)=0,"",IF(J142="TREAT","Successor if space: ","")&amp;IF(H142="Wet","Quercus bicolor or Malus fusca",IF(H142="Riparian","Natives only: Malus fusca, Salix, Q. garryana on edges",IF(H142="Upland","Quercus garryana or Q. macrocarpa","Set site type"))))</f>
        <v/>
      </c>
      <c r="L142" s="54" t="str">
        <f aca="false">IF(N(D142)=0,"",D142*'Ash EAB'!$B$11)</f>
        <v/>
      </c>
      <c r="M142" s="54" t="str">
        <f aca="false">IF(N(D142)=0,"",L142*ROUNDUP('Ash EAB'!$B$17/'Ash EAB'!$B$12,0))</f>
        <v/>
      </c>
      <c r="N142" s="54" t="str">
        <f aca="false">IF(N(D142)=0,"",D142*'Ash EAB'!$B$13+'Ash EAB'!$B$15)</f>
        <v/>
      </c>
      <c r="O142" s="54" t="str">
        <f aca="false">IF(N(D142)=0,"",D142*'Ash EAB'!$B$13*'Ash EAB'!$B$14+'Ash EAB'!$B$15)</f>
        <v/>
      </c>
      <c r="P142" s="47" t="str">
        <f aca="false">IF(N(D142)=0,"",IF(M142&lt;N142,"Treat","Replace"))</f>
        <v/>
      </c>
      <c r="Q142" s="43"/>
      <c r="R142" s="37"/>
      <c r="S142" s="37" t="str">
        <f aca="false">IF(R142="","",EDATE(R142,ROUND('Ash EAB'!$B$12*12,0)))</f>
        <v/>
      </c>
      <c r="T142" s="47"/>
      <c r="U142" s="12"/>
    </row>
    <row r="143" customFormat="false" ht="15" hidden="false" customHeight="true" outlineLevel="0" collapsed="false">
      <c r="A143" s="43"/>
      <c r="B143" s="81"/>
      <c r="C143" s="12"/>
      <c r="D143" s="42"/>
      <c r="E143" s="85"/>
      <c r="F143" s="47"/>
      <c r="G143" s="47"/>
      <c r="H143" s="47"/>
      <c r="I143" s="47"/>
      <c r="J143" s="12" t="str">
        <f aca="false">IF(N(D143)=0,"",IF(N(E143)&gt;0.5,IF(I143="Y","REMOVE NOW: target at risk","REMOVE NOW"),IF(N(E143)&gt;=0.3,"GRAY ZONE: assess structure",IF(G143="High","TREAT",IF(F143="Y","REMOVE AND REPLACE","PLANT FIRST, REMOVE LATER")))))</f>
        <v/>
      </c>
      <c r="K143" s="12" t="str">
        <f aca="false">IF(N(D143)=0,"",IF(J143="TREAT","Successor if space: ","")&amp;IF(H143="Wet","Quercus bicolor or Malus fusca",IF(H143="Riparian","Natives only: Malus fusca, Salix, Q. garryana on edges",IF(H143="Upland","Quercus garryana or Q. macrocarpa","Set site type"))))</f>
        <v/>
      </c>
      <c r="L143" s="54" t="str">
        <f aca="false">IF(N(D143)=0,"",D143*'Ash EAB'!$B$11)</f>
        <v/>
      </c>
      <c r="M143" s="54" t="str">
        <f aca="false">IF(N(D143)=0,"",L143*ROUNDUP('Ash EAB'!$B$17/'Ash EAB'!$B$12,0))</f>
        <v/>
      </c>
      <c r="N143" s="54" t="str">
        <f aca="false">IF(N(D143)=0,"",D143*'Ash EAB'!$B$13+'Ash EAB'!$B$15)</f>
        <v/>
      </c>
      <c r="O143" s="54" t="str">
        <f aca="false">IF(N(D143)=0,"",D143*'Ash EAB'!$B$13*'Ash EAB'!$B$14+'Ash EAB'!$B$15)</f>
        <v/>
      </c>
      <c r="P143" s="47" t="str">
        <f aca="false">IF(N(D143)=0,"",IF(M143&lt;N143,"Treat","Replace"))</f>
        <v/>
      </c>
      <c r="Q143" s="43"/>
      <c r="R143" s="37"/>
      <c r="S143" s="37" t="str">
        <f aca="false">IF(R143="","",EDATE(R143,ROUND('Ash EAB'!$B$12*12,0)))</f>
        <v/>
      </c>
      <c r="T143" s="47"/>
      <c r="U143" s="12"/>
    </row>
    <row r="144" customFormat="false" ht="15" hidden="false" customHeight="true" outlineLevel="0" collapsed="false">
      <c r="A144" s="43"/>
      <c r="B144" s="81"/>
      <c r="C144" s="12"/>
      <c r="D144" s="42"/>
      <c r="E144" s="85"/>
      <c r="F144" s="47"/>
      <c r="G144" s="47"/>
      <c r="H144" s="47"/>
      <c r="I144" s="47"/>
      <c r="J144" s="12" t="str">
        <f aca="false">IF(N(D144)=0,"",IF(N(E144)&gt;0.5,IF(I144="Y","REMOVE NOW: target at risk","REMOVE NOW"),IF(N(E144)&gt;=0.3,"GRAY ZONE: assess structure",IF(G144="High","TREAT",IF(F144="Y","REMOVE AND REPLACE","PLANT FIRST, REMOVE LATER")))))</f>
        <v/>
      </c>
      <c r="K144" s="12" t="str">
        <f aca="false">IF(N(D144)=0,"",IF(J144="TREAT","Successor if space: ","")&amp;IF(H144="Wet","Quercus bicolor or Malus fusca",IF(H144="Riparian","Natives only: Malus fusca, Salix, Q. garryana on edges",IF(H144="Upland","Quercus garryana or Q. macrocarpa","Set site type"))))</f>
        <v/>
      </c>
      <c r="L144" s="54" t="str">
        <f aca="false">IF(N(D144)=0,"",D144*'Ash EAB'!$B$11)</f>
        <v/>
      </c>
      <c r="M144" s="54" t="str">
        <f aca="false">IF(N(D144)=0,"",L144*ROUNDUP('Ash EAB'!$B$17/'Ash EAB'!$B$12,0))</f>
        <v/>
      </c>
      <c r="N144" s="54" t="str">
        <f aca="false">IF(N(D144)=0,"",D144*'Ash EAB'!$B$13+'Ash EAB'!$B$15)</f>
        <v/>
      </c>
      <c r="O144" s="54" t="str">
        <f aca="false">IF(N(D144)=0,"",D144*'Ash EAB'!$B$13*'Ash EAB'!$B$14+'Ash EAB'!$B$15)</f>
        <v/>
      </c>
      <c r="P144" s="47" t="str">
        <f aca="false">IF(N(D144)=0,"",IF(M144&lt;N144,"Treat","Replace"))</f>
        <v/>
      </c>
      <c r="Q144" s="43"/>
      <c r="R144" s="37"/>
      <c r="S144" s="37" t="str">
        <f aca="false">IF(R144="","",EDATE(R144,ROUND('Ash EAB'!$B$12*12,0)))</f>
        <v/>
      </c>
      <c r="T144" s="47"/>
      <c r="U144" s="12"/>
    </row>
    <row r="145" customFormat="false" ht="15" hidden="false" customHeight="true" outlineLevel="0" collapsed="false">
      <c r="A145" s="43"/>
      <c r="B145" s="81"/>
      <c r="C145" s="12"/>
      <c r="D145" s="42"/>
      <c r="E145" s="85"/>
      <c r="F145" s="47"/>
      <c r="G145" s="47"/>
      <c r="H145" s="47"/>
      <c r="I145" s="47"/>
      <c r="J145" s="12" t="str">
        <f aca="false">IF(N(D145)=0,"",IF(N(E145)&gt;0.5,IF(I145="Y","REMOVE NOW: target at risk","REMOVE NOW"),IF(N(E145)&gt;=0.3,"GRAY ZONE: assess structure",IF(G145="High","TREAT",IF(F145="Y","REMOVE AND REPLACE","PLANT FIRST, REMOVE LATER")))))</f>
        <v/>
      </c>
      <c r="K145" s="12" t="str">
        <f aca="false">IF(N(D145)=0,"",IF(J145="TREAT","Successor if space: ","")&amp;IF(H145="Wet","Quercus bicolor or Malus fusca",IF(H145="Riparian","Natives only: Malus fusca, Salix, Q. garryana on edges",IF(H145="Upland","Quercus garryana or Q. macrocarpa","Set site type"))))</f>
        <v/>
      </c>
      <c r="L145" s="54" t="str">
        <f aca="false">IF(N(D145)=0,"",D145*'Ash EAB'!$B$11)</f>
        <v/>
      </c>
      <c r="M145" s="54" t="str">
        <f aca="false">IF(N(D145)=0,"",L145*ROUNDUP('Ash EAB'!$B$17/'Ash EAB'!$B$12,0))</f>
        <v/>
      </c>
      <c r="N145" s="54" t="str">
        <f aca="false">IF(N(D145)=0,"",D145*'Ash EAB'!$B$13+'Ash EAB'!$B$15)</f>
        <v/>
      </c>
      <c r="O145" s="54" t="str">
        <f aca="false">IF(N(D145)=0,"",D145*'Ash EAB'!$B$13*'Ash EAB'!$B$14+'Ash EAB'!$B$15)</f>
        <v/>
      </c>
      <c r="P145" s="47" t="str">
        <f aca="false">IF(N(D145)=0,"",IF(M145&lt;N145,"Treat","Replace"))</f>
        <v/>
      </c>
      <c r="Q145" s="43"/>
      <c r="R145" s="37"/>
      <c r="S145" s="37" t="str">
        <f aca="false">IF(R145="","",EDATE(R145,ROUND('Ash EAB'!$B$12*12,0)))</f>
        <v/>
      </c>
      <c r="T145" s="47"/>
      <c r="U145" s="12"/>
    </row>
    <row r="146" customFormat="false" ht="15" hidden="false" customHeight="true" outlineLevel="0" collapsed="false">
      <c r="A146" s="43"/>
      <c r="B146" s="81"/>
      <c r="C146" s="12"/>
      <c r="D146" s="42"/>
      <c r="E146" s="85"/>
      <c r="F146" s="47"/>
      <c r="G146" s="47"/>
      <c r="H146" s="47"/>
      <c r="I146" s="47"/>
      <c r="J146" s="12" t="str">
        <f aca="false">IF(N(D146)=0,"",IF(N(E146)&gt;0.5,IF(I146="Y","REMOVE NOW: target at risk","REMOVE NOW"),IF(N(E146)&gt;=0.3,"GRAY ZONE: assess structure",IF(G146="High","TREAT",IF(F146="Y","REMOVE AND REPLACE","PLANT FIRST, REMOVE LATER")))))</f>
        <v/>
      </c>
      <c r="K146" s="12" t="str">
        <f aca="false">IF(N(D146)=0,"",IF(J146="TREAT","Successor if space: ","")&amp;IF(H146="Wet","Quercus bicolor or Malus fusca",IF(H146="Riparian","Natives only: Malus fusca, Salix, Q. garryana on edges",IF(H146="Upland","Quercus garryana or Q. macrocarpa","Set site type"))))</f>
        <v/>
      </c>
      <c r="L146" s="54" t="str">
        <f aca="false">IF(N(D146)=0,"",D146*'Ash EAB'!$B$11)</f>
        <v/>
      </c>
      <c r="M146" s="54" t="str">
        <f aca="false">IF(N(D146)=0,"",L146*ROUNDUP('Ash EAB'!$B$17/'Ash EAB'!$B$12,0))</f>
        <v/>
      </c>
      <c r="N146" s="54" t="str">
        <f aca="false">IF(N(D146)=0,"",D146*'Ash EAB'!$B$13+'Ash EAB'!$B$15)</f>
        <v/>
      </c>
      <c r="O146" s="54" t="str">
        <f aca="false">IF(N(D146)=0,"",D146*'Ash EAB'!$B$13*'Ash EAB'!$B$14+'Ash EAB'!$B$15)</f>
        <v/>
      </c>
      <c r="P146" s="47" t="str">
        <f aca="false">IF(N(D146)=0,"",IF(M146&lt;N146,"Treat","Replace"))</f>
        <v/>
      </c>
      <c r="Q146" s="43"/>
      <c r="R146" s="37"/>
      <c r="S146" s="37" t="str">
        <f aca="false">IF(R146="","",EDATE(R146,ROUND('Ash EAB'!$B$12*12,0)))</f>
        <v/>
      </c>
      <c r="T146" s="47"/>
      <c r="U146" s="12"/>
    </row>
    <row r="147" customFormat="false" ht="15" hidden="false" customHeight="true" outlineLevel="0" collapsed="false">
      <c r="A147" s="43"/>
      <c r="B147" s="81"/>
      <c r="C147" s="12"/>
      <c r="D147" s="42"/>
      <c r="E147" s="85"/>
      <c r="F147" s="47"/>
      <c r="G147" s="47"/>
      <c r="H147" s="47"/>
      <c r="I147" s="47"/>
      <c r="J147" s="12" t="str">
        <f aca="false">IF(N(D147)=0,"",IF(N(E147)&gt;0.5,IF(I147="Y","REMOVE NOW: target at risk","REMOVE NOW"),IF(N(E147)&gt;=0.3,"GRAY ZONE: assess structure",IF(G147="High","TREAT",IF(F147="Y","REMOVE AND REPLACE","PLANT FIRST, REMOVE LATER")))))</f>
        <v/>
      </c>
      <c r="K147" s="12" t="str">
        <f aca="false">IF(N(D147)=0,"",IF(J147="TREAT","Successor if space: ","")&amp;IF(H147="Wet","Quercus bicolor or Malus fusca",IF(H147="Riparian","Natives only: Malus fusca, Salix, Q. garryana on edges",IF(H147="Upland","Quercus garryana or Q. macrocarpa","Set site type"))))</f>
        <v/>
      </c>
      <c r="L147" s="54" t="str">
        <f aca="false">IF(N(D147)=0,"",D147*'Ash EAB'!$B$11)</f>
        <v/>
      </c>
      <c r="M147" s="54" t="str">
        <f aca="false">IF(N(D147)=0,"",L147*ROUNDUP('Ash EAB'!$B$17/'Ash EAB'!$B$12,0))</f>
        <v/>
      </c>
      <c r="N147" s="54" t="str">
        <f aca="false">IF(N(D147)=0,"",D147*'Ash EAB'!$B$13+'Ash EAB'!$B$15)</f>
        <v/>
      </c>
      <c r="O147" s="54" t="str">
        <f aca="false">IF(N(D147)=0,"",D147*'Ash EAB'!$B$13*'Ash EAB'!$B$14+'Ash EAB'!$B$15)</f>
        <v/>
      </c>
      <c r="P147" s="47" t="str">
        <f aca="false">IF(N(D147)=0,"",IF(M147&lt;N147,"Treat","Replace"))</f>
        <v/>
      </c>
      <c r="Q147" s="43"/>
      <c r="R147" s="37"/>
      <c r="S147" s="37" t="str">
        <f aca="false">IF(R147="","",EDATE(R147,ROUND('Ash EAB'!$B$12*12,0)))</f>
        <v/>
      </c>
      <c r="T147" s="47"/>
      <c r="U147" s="12"/>
    </row>
    <row r="148" customFormat="false" ht="15" hidden="false" customHeight="true" outlineLevel="0" collapsed="false">
      <c r="A148" s="43"/>
      <c r="B148" s="81"/>
      <c r="C148" s="12"/>
      <c r="D148" s="42"/>
      <c r="E148" s="85"/>
      <c r="F148" s="47"/>
      <c r="G148" s="47"/>
      <c r="H148" s="47"/>
      <c r="I148" s="47"/>
      <c r="J148" s="12" t="str">
        <f aca="false">IF(N(D148)=0,"",IF(N(E148)&gt;0.5,IF(I148="Y","REMOVE NOW: target at risk","REMOVE NOW"),IF(N(E148)&gt;=0.3,"GRAY ZONE: assess structure",IF(G148="High","TREAT",IF(F148="Y","REMOVE AND REPLACE","PLANT FIRST, REMOVE LATER")))))</f>
        <v/>
      </c>
      <c r="K148" s="12" t="str">
        <f aca="false">IF(N(D148)=0,"",IF(J148="TREAT","Successor if space: ","")&amp;IF(H148="Wet","Quercus bicolor or Malus fusca",IF(H148="Riparian","Natives only: Malus fusca, Salix, Q. garryana on edges",IF(H148="Upland","Quercus garryana or Q. macrocarpa","Set site type"))))</f>
        <v/>
      </c>
      <c r="L148" s="54" t="str">
        <f aca="false">IF(N(D148)=0,"",D148*'Ash EAB'!$B$11)</f>
        <v/>
      </c>
      <c r="M148" s="54" t="str">
        <f aca="false">IF(N(D148)=0,"",L148*ROUNDUP('Ash EAB'!$B$17/'Ash EAB'!$B$12,0))</f>
        <v/>
      </c>
      <c r="N148" s="54" t="str">
        <f aca="false">IF(N(D148)=0,"",D148*'Ash EAB'!$B$13+'Ash EAB'!$B$15)</f>
        <v/>
      </c>
      <c r="O148" s="54" t="str">
        <f aca="false">IF(N(D148)=0,"",D148*'Ash EAB'!$B$13*'Ash EAB'!$B$14+'Ash EAB'!$B$15)</f>
        <v/>
      </c>
      <c r="P148" s="47" t="str">
        <f aca="false">IF(N(D148)=0,"",IF(M148&lt;N148,"Treat","Replace"))</f>
        <v/>
      </c>
      <c r="Q148" s="43"/>
      <c r="R148" s="37"/>
      <c r="S148" s="37" t="str">
        <f aca="false">IF(R148="","",EDATE(R148,ROUND('Ash EAB'!$B$12*12,0)))</f>
        <v/>
      </c>
      <c r="T148" s="47"/>
      <c r="U148" s="12"/>
    </row>
    <row r="149" customFormat="false" ht="15" hidden="false" customHeight="true" outlineLevel="0" collapsed="false">
      <c r="A149" s="43"/>
      <c r="B149" s="81"/>
      <c r="C149" s="12"/>
      <c r="D149" s="42"/>
      <c r="E149" s="85"/>
      <c r="F149" s="47"/>
      <c r="G149" s="47"/>
      <c r="H149" s="47"/>
      <c r="I149" s="47"/>
      <c r="J149" s="12" t="str">
        <f aca="false">IF(N(D149)=0,"",IF(N(E149)&gt;0.5,IF(I149="Y","REMOVE NOW: target at risk","REMOVE NOW"),IF(N(E149)&gt;=0.3,"GRAY ZONE: assess structure",IF(G149="High","TREAT",IF(F149="Y","REMOVE AND REPLACE","PLANT FIRST, REMOVE LATER")))))</f>
        <v/>
      </c>
      <c r="K149" s="12" t="str">
        <f aca="false">IF(N(D149)=0,"",IF(J149="TREAT","Successor if space: ","")&amp;IF(H149="Wet","Quercus bicolor or Malus fusca",IF(H149="Riparian","Natives only: Malus fusca, Salix, Q. garryana on edges",IF(H149="Upland","Quercus garryana or Q. macrocarpa","Set site type"))))</f>
        <v/>
      </c>
      <c r="L149" s="54" t="str">
        <f aca="false">IF(N(D149)=0,"",D149*'Ash EAB'!$B$11)</f>
        <v/>
      </c>
      <c r="M149" s="54" t="str">
        <f aca="false">IF(N(D149)=0,"",L149*ROUNDUP('Ash EAB'!$B$17/'Ash EAB'!$B$12,0))</f>
        <v/>
      </c>
      <c r="N149" s="54" t="str">
        <f aca="false">IF(N(D149)=0,"",D149*'Ash EAB'!$B$13+'Ash EAB'!$B$15)</f>
        <v/>
      </c>
      <c r="O149" s="54" t="str">
        <f aca="false">IF(N(D149)=0,"",D149*'Ash EAB'!$B$13*'Ash EAB'!$B$14+'Ash EAB'!$B$15)</f>
        <v/>
      </c>
      <c r="P149" s="47" t="str">
        <f aca="false">IF(N(D149)=0,"",IF(M149&lt;N149,"Treat","Replace"))</f>
        <v/>
      </c>
      <c r="Q149" s="43"/>
      <c r="R149" s="37"/>
      <c r="S149" s="37" t="str">
        <f aca="false">IF(R149="","",EDATE(R149,ROUND('Ash EAB'!$B$12*12,0)))</f>
        <v/>
      </c>
      <c r="T149" s="47"/>
      <c r="U149" s="12"/>
    </row>
    <row r="150" customFormat="false" ht="15" hidden="false" customHeight="true" outlineLevel="0" collapsed="false">
      <c r="A150" s="43"/>
      <c r="B150" s="81"/>
      <c r="C150" s="12"/>
      <c r="D150" s="42"/>
      <c r="E150" s="85"/>
      <c r="F150" s="47"/>
      <c r="G150" s="47"/>
      <c r="H150" s="47"/>
      <c r="I150" s="47"/>
      <c r="J150" s="12" t="str">
        <f aca="false">IF(N(D150)=0,"",IF(N(E150)&gt;0.5,IF(I150="Y","REMOVE NOW: target at risk","REMOVE NOW"),IF(N(E150)&gt;=0.3,"GRAY ZONE: assess structure",IF(G150="High","TREAT",IF(F150="Y","REMOVE AND REPLACE","PLANT FIRST, REMOVE LATER")))))</f>
        <v/>
      </c>
      <c r="K150" s="12" t="str">
        <f aca="false">IF(N(D150)=0,"",IF(J150="TREAT","Successor if space: ","")&amp;IF(H150="Wet","Quercus bicolor or Malus fusca",IF(H150="Riparian","Natives only: Malus fusca, Salix, Q. garryana on edges",IF(H150="Upland","Quercus garryana or Q. macrocarpa","Set site type"))))</f>
        <v/>
      </c>
      <c r="L150" s="54" t="str">
        <f aca="false">IF(N(D150)=0,"",D150*'Ash EAB'!$B$11)</f>
        <v/>
      </c>
      <c r="M150" s="54" t="str">
        <f aca="false">IF(N(D150)=0,"",L150*ROUNDUP('Ash EAB'!$B$17/'Ash EAB'!$B$12,0))</f>
        <v/>
      </c>
      <c r="N150" s="54" t="str">
        <f aca="false">IF(N(D150)=0,"",D150*'Ash EAB'!$B$13+'Ash EAB'!$B$15)</f>
        <v/>
      </c>
      <c r="O150" s="54" t="str">
        <f aca="false">IF(N(D150)=0,"",D150*'Ash EAB'!$B$13*'Ash EAB'!$B$14+'Ash EAB'!$B$15)</f>
        <v/>
      </c>
      <c r="P150" s="47" t="str">
        <f aca="false">IF(N(D150)=0,"",IF(M150&lt;N150,"Treat","Replace"))</f>
        <v/>
      </c>
      <c r="Q150" s="43"/>
      <c r="R150" s="37"/>
      <c r="S150" s="37" t="str">
        <f aca="false">IF(R150="","",EDATE(R150,ROUND('Ash EAB'!$B$12*12,0)))</f>
        <v/>
      </c>
      <c r="T150" s="47"/>
      <c r="U150" s="12"/>
    </row>
    <row r="151" customFormat="false" ht="15" hidden="false" customHeight="true" outlineLevel="0" collapsed="false">
      <c r="A151" s="43"/>
      <c r="B151" s="81"/>
      <c r="C151" s="12"/>
      <c r="D151" s="42"/>
      <c r="E151" s="85"/>
      <c r="F151" s="47"/>
      <c r="G151" s="47"/>
      <c r="H151" s="47"/>
      <c r="I151" s="47"/>
      <c r="J151" s="12" t="str">
        <f aca="false">IF(N(D151)=0,"",IF(N(E151)&gt;0.5,IF(I151="Y","REMOVE NOW: target at risk","REMOVE NOW"),IF(N(E151)&gt;=0.3,"GRAY ZONE: assess structure",IF(G151="High","TREAT",IF(F151="Y","REMOVE AND REPLACE","PLANT FIRST, REMOVE LATER")))))</f>
        <v/>
      </c>
      <c r="K151" s="12" t="str">
        <f aca="false">IF(N(D151)=0,"",IF(J151="TREAT","Successor if space: ","")&amp;IF(H151="Wet","Quercus bicolor or Malus fusca",IF(H151="Riparian","Natives only: Malus fusca, Salix, Q. garryana on edges",IF(H151="Upland","Quercus garryana or Q. macrocarpa","Set site type"))))</f>
        <v/>
      </c>
      <c r="L151" s="54" t="str">
        <f aca="false">IF(N(D151)=0,"",D151*'Ash EAB'!$B$11)</f>
        <v/>
      </c>
      <c r="M151" s="54" t="str">
        <f aca="false">IF(N(D151)=0,"",L151*ROUNDUP('Ash EAB'!$B$17/'Ash EAB'!$B$12,0))</f>
        <v/>
      </c>
      <c r="N151" s="54" t="str">
        <f aca="false">IF(N(D151)=0,"",D151*'Ash EAB'!$B$13+'Ash EAB'!$B$15)</f>
        <v/>
      </c>
      <c r="O151" s="54" t="str">
        <f aca="false">IF(N(D151)=0,"",D151*'Ash EAB'!$B$13*'Ash EAB'!$B$14+'Ash EAB'!$B$15)</f>
        <v/>
      </c>
      <c r="P151" s="47" t="str">
        <f aca="false">IF(N(D151)=0,"",IF(M151&lt;N151,"Treat","Replace"))</f>
        <v/>
      </c>
      <c r="Q151" s="43"/>
      <c r="R151" s="37"/>
      <c r="S151" s="37" t="str">
        <f aca="false">IF(R151="","",EDATE(R151,ROUND('Ash EAB'!$B$12*12,0)))</f>
        <v/>
      </c>
      <c r="T151" s="47"/>
      <c r="U151" s="12"/>
    </row>
    <row r="152" customFormat="false" ht="15" hidden="false" customHeight="true" outlineLevel="0" collapsed="false">
      <c r="A152" s="43"/>
      <c r="B152" s="81"/>
      <c r="C152" s="12"/>
      <c r="D152" s="42"/>
      <c r="E152" s="85"/>
      <c r="F152" s="47"/>
      <c r="G152" s="47"/>
      <c r="H152" s="47"/>
      <c r="I152" s="47"/>
      <c r="J152" s="12" t="str">
        <f aca="false">IF(N(D152)=0,"",IF(N(E152)&gt;0.5,IF(I152="Y","REMOVE NOW: target at risk","REMOVE NOW"),IF(N(E152)&gt;=0.3,"GRAY ZONE: assess structure",IF(G152="High","TREAT",IF(F152="Y","REMOVE AND REPLACE","PLANT FIRST, REMOVE LATER")))))</f>
        <v/>
      </c>
      <c r="K152" s="12" t="str">
        <f aca="false">IF(N(D152)=0,"",IF(J152="TREAT","Successor if space: ","")&amp;IF(H152="Wet","Quercus bicolor or Malus fusca",IF(H152="Riparian","Natives only: Malus fusca, Salix, Q. garryana on edges",IF(H152="Upland","Quercus garryana or Q. macrocarpa","Set site type"))))</f>
        <v/>
      </c>
      <c r="L152" s="54" t="str">
        <f aca="false">IF(N(D152)=0,"",D152*'Ash EAB'!$B$11)</f>
        <v/>
      </c>
      <c r="M152" s="54" t="str">
        <f aca="false">IF(N(D152)=0,"",L152*ROUNDUP('Ash EAB'!$B$17/'Ash EAB'!$B$12,0))</f>
        <v/>
      </c>
      <c r="N152" s="54" t="str">
        <f aca="false">IF(N(D152)=0,"",D152*'Ash EAB'!$B$13+'Ash EAB'!$B$15)</f>
        <v/>
      </c>
      <c r="O152" s="54" t="str">
        <f aca="false">IF(N(D152)=0,"",D152*'Ash EAB'!$B$13*'Ash EAB'!$B$14+'Ash EAB'!$B$15)</f>
        <v/>
      </c>
      <c r="P152" s="47" t="str">
        <f aca="false">IF(N(D152)=0,"",IF(M152&lt;N152,"Treat","Replace"))</f>
        <v/>
      </c>
      <c r="Q152" s="43"/>
      <c r="R152" s="37"/>
      <c r="S152" s="37" t="str">
        <f aca="false">IF(R152="","",EDATE(R152,ROUND('Ash EAB'!$B$12*12,0)))</f>
        <v/>
      </c>
      <c r="T152" s="47"/>
      <c r="U152" s="12"/>
    </row>
    <row r="153" customFormat="false" ht="15" hidden="false" customHeight="true" outlineLevel="0" collapsed="false">
      <c r="A153" s="43"/>
      <c r="B153" s="81"/>
      <c r="C153" s="12"/>
      <c r="D153" s="42"/>
      <c r="E153" s="85"/>
      <c r="F153" s="47"/>
      <c r="G153" s="47"/>
      <c r="H153" s="47"/>
      <c r="I153" s="47"/>
      <c r="J153" s="12" t="str">
        <f aca="false">IF(N(D153)=0,"",IF(N(E153)&gt;0.5,IF(I153="Y","REMOVE NOW: target at risk","REMOVE NOW"),IF(N(E153)&gt;=0.3,"GRAY ZONE: assess structure",IF(G153="High","TREAT",IF(F153="Y","REMOVE AND REPLACE","PLANT FIRST, REMOVE LATER")))))</f>
        <v/>
      </c>
      <c r="K153" s="12" t="str">
        <f aca="false">IF(N(D153)=0,"",IF(J153="TREAT","Successor if space: ","")&amp;IF(H153="Wet","Quercus bicolor or Malus fusca",IF(H153="Riparian","Natives only: Malus fusca, Salix, Q. garryana on edges",IF(H153="Upland","Quercus garryana or Q. macrocarpa","Set site type"))))</f>
        <v/>
      </c>
      <c r="L153" s="54" t="str">
        <f aca="false">IF(N(D153)=0,"",D153*'Ash EAB'!$B$11)</f>
        <v/>
      </c>
      <c r="M153" s="54" t="str">
        <f aca="false">IF(N(D153)=0,"",L153*ROUNDUP('Ash EAB'!$B$17/'Ash EAB'!$B$12,0))</f>
        <v/>
      </c>
      <c r="N153" s="54" t="str">
        <f aca="false">IF(N(D153)=0,"",D153*'Ash EAB'!$B$13+'Ash EAB'!$B$15)</f>
        <v/>
      </c>
      <c r="O153" s="54" t="str">
        <f aca="false">IF(N(D153)=0,"",D153*'Ash EAB'!$B$13*'Ash EAB'!$B$14+'Ash EAB'!$B$15)</f>
        <v/>
      </c>
      <c r="P153" s="47" t="str">
        <f aca="false">IF(N(D153)=0,"",IF(M153&lt;N153,"Treat","Replace"))</f>
        <v/>
      </c>
      <c r="Q153" s="43"/>
      <c r="R153" s="37"/>
      <c r="S153" s="37" t="str">
        <f aca="false">IF(R153="","",EDATE(R153,ROUND('Ash EAB'!$B$12*12,0)))</f>
        <v/>
      </c>
      <c r="T153" s="47"/>
      <c r="U153" s="12"/>
    </row>
    <row r="154" customFormat="false" ht="15" hidden="false" customHeight="true" outlineLevel="0" collapsed="false">
      <c r="A154" s="43"/>
      <c r="B154" s="81"/>
      <c r="C154" s="12"/>
      <c r="D154" s="42"/>
      <c r="E154" s="85"/>
      <c r="F154" s="47"/>
      <c r="G154" s="47"/>
      <c r="H154" s="47"/>
      <c r="I154" s="47"/>
      <c r="J154" s="12" t="str">
        <f aca="false">IF(N(D154)=0,"",IF(N(E154)&gt;0.5,IF(I154="Y","REMOVE NOW: target at risk","REMOVE NOW"),IF(N(E154)&gt;=0.3,"GRAY ZONE: assess structure",IF(G154="High","TREAT",IF(F154="Y","REMOVE AND REPLACE","PLANT FIRST, REMOVE LATER")))))</f>
        <v/>
      </c>
      <c r="K154" s="12" t="str">
        <f aca="false">IF(N(D154)=0,"",IF(J154="TREAT","Successor if space: ","")&amp;IF(H154="Wet","Quercus bicolor or Malus fusca",IF(H154="Riparian","Natives only: Malus fusca, Salix, Q. garryana on edges",IF(H154="Upland","Quercus garryana or Q. macrocarpa","Set site type"))))</f>
        <v/>
      </c>
      <c r="L154" s="54" t="str">
        <f aca="false">IF(N(D154)=0,"",D154*'Ash EAB'!$B$11)</f>
        <v/>
      </c>
      <c r="M154" s="54" t="str">
        <f aca="false">IF(N(D154)=0,"",L154*ROUNDUP('Ash EAB'!$B$17/'Ash EAB'!$B$12,0))</f>
        <v/>
      </c>
      <c r="N154" s="54" t="str">
        <f aca="false">IF(N(D154)=0,"",D154*'Ash EAB'!$B$13+'Ash EAB'!$B$15)</f>
        <v/>
      </c>
      <c r="O154" s="54" t="str">
        <f aca="false">IF(N(D154)=0,"",D154*'Ash EAB'!$B$13*'Ash EAB'!$B$14+'Ash EAB'!$B$15)</f>
        <v/>
      </c>
      <c r="P154" s="47" t="str">
        <f aca="false">IF(N(D154)=0,"",IF(M154&lt;N154,"Treat","Replace"))</f>
        <v/>
      </c>
      <c r="Q154" s="43"/>
      <c r="R154" s="37"/>
      <c r="S154" s="37" t="str">
        <f aca="false">IF(R154="","",EDATE(R154,ROUND('Ash EAB'!$B$12*12,0)))</f>
        <v/>
      </c>
      <c r="T154" s="47"/>
      <c r="U154" s="12"/>
    </row>
    <row r="155" customFormat="false" ht="15" hidden="false" customHeight="true" outlineLevel="0" collapsed="false">
      <c r="A155" s="43"/>
      <c r="B155" s="81"/>
      <c r="C155" s="12"/>
      <c r="D155" s="42"/>
      <c r="E155" s="85"/>
      <c r="F155" s="47"/>
      <c r="G155" s="47"/>
      <c r="H155" s="47"/>
      <c r="I155" s="47"/>
      <c r="J155" s="12" t="str">
        <f aca="false">IF(N(D155)=0,"",IF(N(E155)&gt;0.5,IF(I155="Y","REMOVE NOW: target at risk","REMOVE NOW"),IF(N(E155)&gt;=0.3,"GRAY ZONE: assess structure",IF(G155="High","TREAT",IF(F155="Y","REMOVE AND REPLACE","PLANT FIRST, REMOVE LATER")))))</f>
        <v/>
      </c>
      <c r="K155" s="12" t="str">
        <f aca="false">IF(N(D155)=0,"",IF(J155="TREAT","Successor if space: ","")&amp;IF(H155="Wet","Quercus bicolor or Malus fusca",IF(H155="Riparian","Natives only: Malus fusca, Salix, Q. garryana on edges",IF(H155="Upland","Quercus garryana or Q. macrocarpa","Set site type"))))</f>
        <v/>
      </c>
      <c r="L155" s="54" t="str">
        <f aca="false">IF(N(D155)=0,"",D155*'Ash EAB'!$B$11)</f>
        <v/>
      </c>
      <c r="M155" s="54" t="str">
        <f aca="false">IF(N(D155)=0,"",L155*ROUNDUP('Ash EAB'!$B$17/'Ash EAB'!$B$12,0))</f>
        <v/>
      </c>
      <c r="N155" s="54" t="str">
        <f aca="false">IF(N(D155)=0,"",D155*'Ash EAB'!$B$13+'Ash EAB'!$B$15)</f>
        <v/>
      </c>
      <c r="O155" s="54" t="str">
        <f aca="false">IF(N(D155)=0,"",D155*'Ash EAB'!$B$13*'Ash EAB'!$B$14+'Ash EAB'!$B$15)</f>
        <v/>
      </c>
      <c r="P155" s="47" t="str">
        <f aca="false">IF(N(D155)=0,"",IF(M155&lt;N155,"Treat","Replace"))</f>
        <v/>
      </c>
      <c r="Q155" s="43"/>
      <c r="R155" s="37"/>
      <c r="S155" s="37" t="str">
        <f aca="false">IF(R155="","",EDATE(R155,ROUND('Ash EAB'!$B$12*12,0)))</f>
        <v/>
      </c>
      <c r="T155" s="47"/>
      <c r="U155" s="12"/>
    </row>
    <row r="156" customFormat="false" ht="15" hidden="false" customHeight="true" outlineLevel="0" collapsed="false">
      <c r="A156" s="43"/>
      <c r="B156" s="81"/>
      <c r="C156" s="12"/>
      <c r="D156" s="42"/>
      <c r="E156" s="85"/>
      <c r="F156" s="47"/>
      <c r="G156" s="47"/>
      <c r="H156" s="47"/>
      <c r="I156" s="47"/>
      <c r="J156" s="12" t="str">
        <f aca="false">IF(N(D156)=0,"",IF(N(E156)&gt;0.5,IF(I156="Y","REMOVE NOW: target at risk","REMOVE NOW"),IF(N(E156)&gt;=0.3,"GRAY ZONE: assess structure",IF(G156="High","TREAT",IF(F156="Y","REMOVE AND REPLACE","PLANT FIRST, REMOVE LATER")))))</f>
        <v/>
      </c>
      <c r="K156" s="12" t="str">
        <f aca="false">IF(N(D156)=0,"",IF(J156="TREAT","Successor if space: ","")&amp;IF(H156="Wet","Quercus bicolor or Malus fusca",IF(H156="Riparian","Natives only: Malus fusca, Salix, Q. garryana on edges",IF(H156="Upland","Quercus garryana or Q. macrocarpa","Set site type"))))</f>
        <v/>
      </c>
      <c r="L156" s="54" t="str">
        <f aca="false">IF(N(D156)=0,"",D156*'Ash EAB'!$B$11)</f>
        <v/>
      </c>
      <c r="M156" s="54" t="str">
        <f aca="false">IF(N(D156)=0,"",L156*ROUNDUP('Ash EAB'!$B$17/'Ash EAB'!$B$12,0))</f>
        <v/>
      </c>
      <c r="N156" s="54" t="str">
        <f aca="false">IF(N(D156)=0,"",D156*'Ash EAB'!$B$13+'Ash EAB'!$B$15)</f>
        <v/>
      </c>
      <c r="O156" s="54" t="str">
        <f aca="false">IF(N(D156)=0,"",D156*'Ash EAB'!$B$13*'Ash EAB'!$B$14+'Ash EAB'!$B$15)</f>
        <v/>
      </c>
      <c r="P156" s="47" t="str">
        <f aca="false">IF(N(D156)=0,"",IF(M156&lt;N156,"Treat","Replace"))</f>
        <v/>
      </c>
      <c r="Q156" s="43"/>
      <c r="R156" s="37"/>
      <c r="S156" s="37" t="str">
        <f aca="false">IF(R156="","",EDATE(R156,ROUND('Ash EAB'!$B$12*12,0)))</f>
        <v/>
      </c>
      <c r="T156" s="47"/>
      <c r="U156" s="12"/>
    </row>
    <row r="157" customFormat="false" ht="15" hidden="false" customHeight="true" outlineLevel="0" collapsed="false">
      <c r="A157" s="43"/>
      <c r="B157" s="81"/>
      <c r="C157" s="12"/>
      <c r="D157" s="42"/>
      <c r="E157" s="85"/>
      <c r="F157" s="47"/>
      <c r="G157" s="47"/>
      <c r="H157" s="47"/>
      <c r="I157" s="47"/>
      <c r="J157" s="12" t="str">
        <f aca="false">IF(N(D157)=0,"",IF(N(E157)&gt;0.5,IF(I157="Y","REMOVE NOW: target at risk","REMOVE NOW"),IF(N(E157)&gt;=0.3,"GRAY ZONE: assess structure",IF(G157="High","TREAT",IF(F157="Y","REMOVE AND REPLACE","PLANT FIRST, REMOVE LATER")))))</f>
        <v/>
      </c>
      <c r="K157" s="12" t="str">
        <f aca="false">IF(N(D157)=0,"",IF(J157="TREAT","Successor if space: ","")&amp;IF(H157="Wet","Quercus bicolor or Malus fusca",IF(H157="Riparian","Natives only: Malus fusca, Salix, Q. garryana on edges",IF(H157="Upland","Quercus garryana or Q. macrocarpa","Set site type"))))</f>
        <v/>
      </c>
      <c r="L157" s="54" t="str">
        <f aca="false">IF(N(D157)=0,"",D157*'Ash EAB'!$B$11)</f>
        <v/>
      </c>
      <c r="M157" s="54" t="str">
        <f aca="false">IF(N(D157)=0,"",L157*ROUNDUP('Ash EAB'!$B$17/'Ash EAB'!$B$12,0))</f>
        <v/>
      </c>
      <c r="N157" s="54" t="str">
        <f aca="false">IF(N(D157)=0,"",D157*'Ash EAB'!$B$13+'Ash EAB'!$B$15)</f>
        <v/>
      </c>
      <c r="O157" s="54" t="str">
        <f aca="false">IF(N(D157)=0,"",D157*'Ash EAB'!$B$13*'Ash EAB'!$B$14+'Ash EAB'!$B$15)</f>
        <v/>
      </c>
      <c r="P157" s="47" t="str">
        <f aca="false">IF(N(D157)=0,"",IF(M157&lt;N157,"Treat","Replace"))</f>
        <v/>
      </c>
      <c r="Q157" s="43"/>
      <c r="R157" s="37"/>
      <c r="S157" s="37" t="str">
        <f aca="false">IF(R157="","",EDATE(R157,ROUND('Ash EAB'!$B$12*12,0)))</f>
        <v/>
      </c>
      <c r="T157" s="47"/>
      <c r="U157" s="12"/>
    </row>
    <row r="158" customFormat="false" ht="15" hidden="false" customHeight="true" outlineLevel="0" collapsed="false">
      <c r="A158" s="43"/>
      <c r="B158" s="81"/>
      <c r="C158" s="12"/>
      <c r="D158" s="42"/>
      <c r="E158" s="85"/>
      <c r="F158" s="47"/>
      <c r="G158" s="47"/>
      <c r="H158" s="47"/>
      <c r="I158" s="47"/>
      <c r="J158" s="12" t="str">
        <f aca="false">IF(N(D158)=0,"",IF(N(E158)&gt;0.5,IF(I158="Y","REMOVE NOW: target at risk","REMOVE NOW"),IF(N(E158)&gt;=0.3,"GRAY ZONE: assess structure",IF(G158="High","TREAT",IF(F158="Y","REMOVE AND REPLACE","PLANT FIRST, REMOVE LATER")))))</f>
        <v/>
      </c>
      <c r="K158" s="12" t="str">
        <f aca="false">IF(N(D158)=0,"",IF(J158="TREAT","Successor if space: ","")&amp;IF(H158="Wet","Quercus bicolor or Malus fusca",IF(H158="Riparian","Natives only: Malus fusca, Salix, Q. garryana on edges",IF(H158="Upland","Quercus garryana or Q. macrocarpa","Set site type"))))</f>
        <v/>
      </c>
      <c r="L158" s="54" t="str">
        <f aca="false">IF(N(D158)=0,"",D158*'Ash EAB'!$B$11)</f>
        <v/>
      </c>
      <c r="M158" s="54" t="str">
        <f aca="false">IF(N(D158)=0,"",L158*ROUNDUP('Ash EAB'!$B$17/'Ash EAB'!$B$12,0))</f>
        <v/>
      </c>
      <c r="N158" s="54" t="str">
        <f aca="false">IF(N(D158)=0,"",D158*'Ash EAB'!$B$13+'Ash EAB'!$B$15)</f>
        <v/>
      </c>
      <c r="O158" s="54" t="str">
        <f aca="false">IF(N(D158)=0,"",D158*'Ash EAB'!$B$13*'Ash EAB'!$B$14+'Ash EAB'!$B$15)</f>
        <v/>
      </c>
      <c r="P158" s="47" t="str">
        <f aca="false">IF(N(D158)=0,"",IF(M158&lt;N158,"Treat","Replace"))</f>
        <v/>
      </c>
      <c r="Q158" s="43"/>
      <c r="R158" s="37"/>
      <c r="S158" s="37" t="str">
        <f aca="false">IF(R158="","",EDATE(R158,ROUND('Ash EAB'!$B$12*12,0)))</f>
        <v/>
      </c>
      <c r="T158" s="47"/>
      <c r="U158" s="12"/>
    </row>
    <row r="159" customFormat="false" ht="15" hidden="false" customHeight="true" outlineLevel="0" collapsed="false">
      <c r="A159" s="43"/>
      <c r="B159" s="81"/>
      <c r="C159" s="12"/>
      <c r="D159" s="42"/>
      <c r="E159" s="85"/>
      <c r="F159" s="47"/>
      <c r="G159" s="47"/>
      <c r="H159" s="47"/>
      <c r="I159" s="47"/>
      <c r="J159" s="12" t="str">
        <f aca="false">IF(N(D159)=0,"",IF(N(E159)&gt;0.5,IF(I159="Y","REMOVE NOW: target at risk","REMOVE NOW"),IF(N(E159)&gt;=0.3,"GRAY ZONE: assess structure",IF(G159="High","TREAT",IF(F159="Y","REMOVE AND REPLACE","PLANT FIRST, REMOVE LATER")))))</f>
        <v/>
      </c>
      <c r="K159" s="12" t="str">
        <f aca="false">IF(N(D159)=0,"",IF(J159="TREAT","Successor if space: ","")&amp;IF(H159="Wet","Quercus bicolor or Malus fusca",IF(H159="Riparian","Natives only: Malus fusca, Salix, Q. garryana on edges",IF(H159="Upland","Quercus garryana or Q. macrocarpa","Set site type"))))</f>
        <v/>
      </c>
      <c r="L159" s="54" t="str">
        <f aca="false">IF(N(D159)=0,"",D159*'Ash EAB'!$B$11)</f>
        <v/>
      </c>
      <c r="M159" s="54" t="str">
        <f aca="false">IF(N(D159)=0,"",L159*ROUNDUP('Ash EAB'!$B$17/'Ash EAB'!$B$12,0))</f>
        <v/>
      </c>
      <c r="N159" s="54" t="str">
        <f aca="false">IF(N(D159)=0,"",D159*'Ash EAB'!$B$13+'Ash EAB'!$B$15)</f>
        <v/>
      </c>
      <c r="O159" s="54" t="str">
        <f aca="false">IF(N(D159)=0,"",D159*'Ash EAB'!$B$13*'Ash EAB'!$B$14+'Ash EAB'!$B$15)</f>
        <v/>
      </c>
      <c r="P159" s="47" t="str">
        <f aca="false">IF(N(D159)=0,"",IF(M159&lt;N159,"Treat","Replace"))</f>
        <v/>
      </c>
      <c r="Q159" s="43"/>
      <c r="R159" s="37"/>
      <c r="S159" s="37" t="str">
        <f aca="false">IF(R159="","",EDATE(R159,ROUND('Ash EAB'!$B$12*12,0)))</f>
        <v/>
      </c>
      <c r="T159" s="47"/>
      <c r="U159" s="12"/>
    </row>
    <row r="160" customFormat="false" ht="15" hidden="false" customHeight="true" outlineLevel="0" collapsed="false">
      <c r="A160" s="43"/>
      <c r="B160" s="81"/>
      <c r="C160" s="12"/>
      <c r="D160" s="42"/>
      <c r="E160" s="85"/>
      <c r="F160" s="47"/>
      <c r="G160" s="47"/>
      <c r="H160" s="47"/>
      <c r="I160" s="47"/>
      <c r="J160" s="12" t="str">
        <f aca="false">IF(N(D160)=0,"",IF(N(E160)&gt;0.5,IF(I160="Y","REMOVE NOW: target at risk","REMOVE NOW"),IF(N(E160)&gt;=0.3,"GRAY ZONE: assess structure",IF(G160="High","TREAT",IF(F160="Y","REMOVE AND REPLACE","PLANT FIRST, REMOVE LATER")))))</f>
        <v/>
      </c>
      <c r="K160" s="12" t="str">
        <f aca="false">IF(N(D160)=0,"",IF(J160="TREAT","Successor if space: ","")&amp;IF(H160="Wet","Quercus bicolor or Malus fusca",IF(H160="Riparian","Natives only: Malus fusca, Salix, Q. garryana on edges",IF(H160="Upland","Quercus garryana or Q. macrocarpa","Set site type"))))</f>
        <v/>
      </c>
      <c r="L160" s="54" t="str">
        <f aca="false">IF(N(D160)=0,"",D160*'Ash EAB'!$B$11)</f>
        <v/>
      </c>
      <c r="M160" s="54" t="str">
        <f aca="false">IF(N(D160)=0,"",L160*ROUNDUP('Ash EAB'!$B$17/'Ash EAB'!$B$12,0))</f>
        <v/>
      </c>
      <c r="N160" s="54" t="str">
        <f aca="false">IF(N(D160)=0,"",D160*'Ash EAB'!$B$13+'Ash EAB'!$B$15)</f>
        <v/>
      </c>
      <c r="O160" s="54" t="str">
        <f aca="false">IF(N(D160)=0,"",D160*'Ash EAB'!$B$13*'Ash EAB'!$B$14+'Ash EAB'!$B$15)</f>
        <v/>
      </c>
      <c r="P160" s="47" t="str">
        <f aca="false">IF(N(D160)=0,"",IF(M160&lt;N160,"Treat","Replace"))</f>
        <v/>
      </c>
      <c r="Q160" s="43"/>
      <c r="R160" s="37"/>
      <c r="S160" s="37" t="str">
        <f aca="false">IF(R160="","",EDATE(R160,ROUND('Ash EAB'!$B$12*12,0)))</f>
        <v/>
      </c>
      <c r="T160" s="47"/>
      <c r="U160" s="12"/>
    </row>
    <row r="161" customFormat="false" ht="15" hidden="false" customHeight="true" outlineLevel="0" collapsed="false">
      <c r="A161" s="43"/>
      <c r="B161" s="81"/>
      <c r="C161" s="12"/>
      <c r="D161" s="42"/>
      <c r="E161" s="85"/>
      <c r="F161" s="47"/>
      <c r="G161" s="47"/>
      <c r="H161" s="47"/>
      <c r="I161" s="47"/>
      <c r="J161" s="12" t="str">
        <f aca="false">IF(N(D161)=0,"",IF(N(E161)&gt;0.5,IF(I161="Y","REMOVE NOW: target at risk","REMOVE NOW"),IF(N(E161)&gt;=0.3,"GRAY ZONE: assess structure",IF(G161="High","TREAT",IF(F161="Y","REMOVE AND REPLACE","PLANT FIRST, REMOVE LATER")))))</f>
        <v/>
      </c>
      <c r="K161" s="12" t="str">
        <f aca="false">IF(N(D161)=0,"",IF(J161="TREAT","Successor if space: ","")&amp;IF(H161="Wet","Quercus bicolor or Malus fusca",IF(H161="Riparian","Natives only: Malus fusca, Salix, Q. garryana on edges",IF(H161="Upland","Quercus garryana or Q. macrocarpa","Set site type"))))</f>
        <v/>
      </c>
      <c r="L161" s="54" t="str">
        <f aca="false">IF(N(D161)=0,"",D161*'Ash EAB'!$B$11)</f>
        <v/>
      </c>
      <c r="M161" s="54" t="str">
        <f aca="false">IF(N(D161)=0,"",L161*ROUNDUP('Ash EAB'!$B$17/'Ash EAB'!$B$12,0))</f>
        <v/>
      </c>
      <c r="N161" s="54" t="str">
        <f aca="false">IF(N(D161)=0,"",D161*'Ash EAB'!$B$13+'Ash EAB'!$B$15)</f>
        <v/>
      </c>
      <c r="O161" s="54" t="str">
        <f aca="false">IF(N(D161)=0,"",D161*'Ash EAB'!$B$13*'Ash EAB'!$B$14+'Ash EAB'!$B$15)</f>
        <v/>
      </c>
      <c r="P161" s="47" t="str">
        <f aca="false">IF(N(D161)=0,"",IF(M161&lt;N161,"Treat","Replace"))</f>
        <v/>
      </c>
      <c r="Q161" s="43"/>
      <c r="R161" s="37"/>
      <c r="S161" s="37" t="str">
        <f aca="false">IF(R161="","",EDATE(R161,ROUND('Ash EAB'!$B$12*12,0)))</f>
        <v/>
      </c>
      <c r="T161" s="47"/>
      <c r="U161" s="12"/>
    </row>
    <row r="162" customFormat="false" ht="15" hidden="false" customHeight="true" outlineLevel="0" collapsed="false">
      <c r="A162" s="43"/>
      <c r="B162" s="81"/>
      <c r="C162" s="12"/>
      <c r="D162" s="42"/>
      <c r="E162" s="85"/>
      <c r="F162" s="47"/>
      <c r="G162" s="47"/>
      <c r="H162" s="47"/>
      <c r="I162" s="47"/>
      <c r="J162" s="12" t="str">
        <f aca="false">IF(N(D162)=0,"",IF(N(E162)&gt;0.5,IF(I162="Y","REMOVE NOW: target at risk","REMOVE NOW"),IF(N(E162)&gt;=0.3,"GRAY ZONE: assess structure",IF(G162="High","TREAT",IF(F162="Y","REMOVE AND REPLACE","PLANT FIRST, REMOVE LATER")))))</f>
        <v/>
      </c>
      <c r="K162" s="12" t="str">
        <f aca="false">IF(N(D162)=0,"",IF(J162="TREAT","Successor if space: ","")&amp;IF(H162="Wet","Quercus bicolor or Malus fusca",IF(H162="Riparian","Natives only: Malus fusca, Salix, Q. garryana on edges",IF(H162="Upland","Quercus garryana or Q. macrocarpa","Set site type"))))</f>
        <v/>
      </c>
      <c r="L162" s="54" t="str">
        <f aca="false">IF(N(D162)=0,"",D162*'Ash EAB'!$B$11)</f>
        <v/>
      </c>
      <c r="M162" s="54" t="str">
        <f aca="false">IF(N(D162)=0,"",L162*ROUNDUP('Ash EAB'!$B$17/'Ash EAB'!$B$12,0))</f>
        <v/>
      </c>
      <c r="N162" s="54" t="str">
        <f aca="false">IF(N(D162)=0,"",D162*'Ash EAB'!$B$13+'Ash EAB'!$B$15)</f>
        <v/>
      </c>
      <c r="O162" s="54" t="str">
        <f aca="false">IF(N(D162)=0,"",D162*'Ash EAB'!$B$13*'Ash EAB'!$B$14+'Ash EAB'!$B$15)</f>
        <v/>
      </c>
      <c r="P162" s="47" t="str">
        <f aca="false">IF(N(D162)=0,"",IF(M162&lt;N162,"Treat","Replace"))</f>
        <v/>
      </c>
      <c r="Q162" s="43"/>
      <c r="R162" s="37"/>
      <c r="S162" s="37" t="str">
        <f aca="false">IF(R162="","",EDATE(R162,ROUND('Ash EAB'!$B$12*12,0)))</f>
        <v/>
      </c>
      <c r="T162" s="47"/>
      <c r="U162" s="12"/>
    </row>
    <row r="163" customFormat="false" ht="15" hidden="false" customHeight="true" outlineLevel="0" collapsed="false">
      <c r="A163" s="43"/>
      <c r="B163" s="81"/>
      <c r="C163" s="12"/>
      <c r="D163" s="42"/>
      <c r="E163" s="85"/>
      <c r="F163" s="47"/>
      <c r="G163" s="47"/>
      <c r="H163" s="47"/>
      <c r="I163" s="47"/>
      <c r="J163" s="12" t="str">
        <f aca="false">IF(N(D163)=0,"",IF(N(E163)&gt;0.5,IF(I163="Y","REMOVE NOW: target at risk","REMOVE NOW"),IF(N(E163)&gt;=0.3,"GRAY ZONE: assess structure",IF(G163="High","TREAT",IF(F163="Y","REMOVE AND REPLACE","PLANT FIRST, REMOVE LATER")))))</f>
        <v/>
      </c>
      <c r="K163" s="12" t="str">
        <f aca="false">IF(N(D163)=0,"",IF(J163="TREAT","Successor if space: ","")&amp;IF(H163="Wet","Quercus bicolor or Malus fusca",IF(H163="Riparian","Natives only: Malus fusca, Salix, Q. garryana on edges",IF(H163="Upland","Quercus garryana or Q. macrocarpa","Set site type"))))</f>
        <v/>
      </c>
      <c r="L163" s="54" t="str">
        <f aca="false">IF(N(D163)=0,"",D163*'Ash EAB'!$B$11)</f>
        <v/>
      </c>
      <c r="M163" s="54" t="str">
        <f aca="false">IF(N(D163)=0,"",L163*ROUNDUP('Ash EAB'!$B$17/'Ash EAB'!$B$12,0))</f>
        <v/>
      </c>
      <c r="N163" s="54" t="str">
        <f aca="false">IF(N(D163)=0,"",D163*'Ash EAB'!$B$13+'Ash EAB'!$B$15)</f>
        <v/>
      </c>
      <c r="O163" s="54" t="str">
        <f aca="false">IF(N(D163)=0,"",D163*'Ash EAB'!$B$13*'Ash EAB'!$B$14+'Ash EAB'!$B$15)</f>
        <v/>
      </c>
      <c r="P163" s="47" t="str">
        <f aca="false">IF(N(D163)=0,"",IF(M163&lt;N163,"Treat","Replace"))</f>
        <v/>
      </c>
      <c r="Q163" s="43"/>
      <c r="R163" s="37"/>
      <c r="S163" s="37" t="str">
        <f aca="false">IF(R163="","",EDATE(R163,ROUND('Ash EAB'!$B$12*12,0)))</f>
        <v/>
      </c>
      <c r="T163" s="47"/>
      <c r="U163" s="12"/>
    </row>
    <row r="164" customFormat="false" ht="15" hidden="false" customHeight="true" outlineLevel="0" collapsed="false">
      <c r="A164" s="43"/>
      <c r="B164" s="81"/>
      <c r="C164" s="12"/>
      <c r="D164" s="42"/>
      <c r="E164" s="85"/>
      <c r="F164" s="47"/>
      <c r="G164" s="47"/>
      <c r="H164" s="47"/>
      <c r="I164" s="47"/>
      <c r="J164" s="12" t="str">
        <f aca="false">IF(N(D164)=0,"",IF(N(E164)&gt;0.5,IF(I164="Y","REMOVE NOW: target at risk","REMOVE NOW"),IF(N(E164)&gt;=0.3,"GRAY ZONE: assess structure",IF(G164="High","TREAT",IF(F164="Y","REMOVE AND REPLACE","PLANT FIRST, REMOVE LATER")))))</f>
        <v/>
      </c>
      <c r="K164" s="12" t="str">
        <f aca="false">IF(N(D164)=0,"",IF(J164="TREAT","Successor if space: ","")&amp;IF(H164="Wet","Quercus bicolor or Malus fusca",IF(H164="Riparian","Natives only: Malus fusca, Salix, Q. garryana on edges",IF(H164="Upland","Quercus garryana or Q. macrocarpa","Set site type"))))</f>
        <v/>
      </c>
      <c r="L164" s="54" t="str">
        <f aca="false">IF(N(D164)=0,"",D164*'Ash EAB'!$B$11)</f>
        <v/>
      </c>
      <c r="M164" s="54" t="str">
        <f aca="false">IF(N(D164)=0,"",L164*ROUNDUP('Ash EAB'!$B$17/'Ash EAB'!$B$12,0))</f>
        <v/>
      </c>
      <c r="N164" s="54" t="str">
        <f aca="false">IF(N(D164)=0,"",D164*'Ash EAB'!$B$13+'Ash EAB'!$B$15)</f>
        <v/>
      </c>
      <c r="O164" s="54" t="str">
        <f aca="false">IF(N(D164)=0,"",D164*'Ash EAB'!$B$13*'Ash EAB'!$B$14+'Ash EAB'!$B$15)</f>
        <v/>
      </c>
      <c r="P164" s="47" t="str">
        <f aca="false">IF(N(D164)=0,"",IF(M164&lt;N164,"Treat","Replace"))</f>
        <v/>
      </c>
      <c r="Q164" s="43"/>
      <c r="R164" s="37"/>
      <c r="S164" s="37" t="str">
        <f aca="false">IF(R164="","",EDATE(R164,ROUND('Ash EAB'!$B$12*12,0)))</f>
        <v/>
      </c>
      <c r="T164" s="47"/>
      <c r="U164" s="12"/>
    </row>
    <row r="165" customFormat="false" ht="15" hidden="false" customHeight="true" outlineLevel="0" collapsed="false">
      <c r="A165" s="43"/>
      <c r="B165" s="81"/>
      <c r="C165" s="12"/>
      <c r="D165" s="42"/>
      <c r="E165" s="85"/>
      <c r="F165" s="47"/>
      <c r="G165" s="47"/>
      <c r="H165" s="47"/>
      <c r="I165" s="47"/>
      <c r="J165" s="12" t="str">
        <f aca="false">IF(N(D165)=0,"",IF(N(E165)&gt;0.5,IF(I165="Y","REMOVE NOW: target at risk","REMOVE NOW"),IF(N(E165)&gt;=0.3,"GRAY ZONE: assess structure",IF(G165="High","TREAT",IF(F165="Y","REMOVE AND REPLACE","PLANT FIRST, REMOVE LATER")))))</f>
        <v/>
      </c>
      <c r="K165" s="12" t="str">
        <f aca="false">IF(N(D165)=0,"",IF(J165="TREAT","Successor if space: ","")&amp;IF(H165="Wet","Quercus bicolor or Malus fusca",IF(H165="Riparian","Natives only: Malus fusca, Salix, Q. garryana on edges",IF(H165="Upland","Quercus garryana or Q. macrocarpa","Set site type"))))</f>
        <v/>
      </c>
      <c r="L165" s="54" t="str">
        <f aca="false">IF(N(D165)=0,"",D165*'Ash EAB'!$B$11)</f>
        <v/>
      </c>
      <c r="M165" s="54" t="str">
        <f aca="false">IF(N(D165)=0,"",L165*ROUNDUP('Ash EAB'!$B$17/'Ash EAB'!$B$12,0))</f>
        <v/>
      </c>
      <c r="N165" s="54" t="str">
        <f aca="false">IF(N(D165)=0,"",D165*'Ash EAB'!$B$13+'Ash EAB'!$B$15)</f>
        <v/>
      </c>
      <c r="O165" s="54" t="str">
        <f aca="false">IF(N(D165)=0,"",D165*'Ash EAB'!$B$13*'Ash EAB'!$B$14+'Ash EAB'!$B$15)</f>
        <v/>
      </c>
      <c r="P165" s="47" t="str">
        <f aca="false">IF(N(D165)=0,"",IF(M165&lt;N165,"Treat","Replace"))</f>
        <v/>
      </c>
      <c r="Q165" s="43"/>
      <c r="R165" s="37"/>
      <c r="S165" s="37" t="str">
        <f aca="false">IF(R165="","",EDATE(R165,ROUND('Ash EAB'!$B$12*12,0)))</f>
        <v/>
      </c>
      <c r="T165" s="47"/>
      <c r="U165" s="12"/>
    </row>
    <row r="166" customFormat="false" ht="15" hidden="false" customHeight="true" outlineLevel="0" collapsed="false">
      <c r="A166" s="43"/>
      <c r="B166" s="81"/>
      <c r="C166" s="12"/>
      <c r="D166" s="42"/>
      <c r="E166" s="85"/>
      <c r="F166" s="47"/>
      <c r="G166" s="47"/>
      <c r="H166" s="47"/>
      <c r="I166" s="47"/>
      <c r="J166" s="12" t="str">
        <f aca="false">IF(N(D166)=0,"",IF(N(E166)&gt;0.5,IF(I166="Y","REMOVE NOW: target at risk","REMOVE NOW"),IF(N(E166)&gt;=0.3,"GRAY ZONE: assess structure",IF(G166="High","TREAT",IF(F166="Y","REMOVE AND REPLACE","PLANT FIRST, REMOVE LATER")))))</f>
        <v/>
      </c>
      <c r="K166" s="12" t="str">
        <f aca="false">IF(N(D166)=0,"",IF(J166="TREAT","Successor if space: ","")&amp;IF(H166="Wet","Quercus bicolor or Malus fusca",IF(H166="Riparian","Natives only: Malus fusca, Salix, Q. garryana on edges",IF(H166="Upland","Quercus garryana or Q. macrocarpa","Set site type"))))</f>
        <v/>
      </c>
      <c r="L166" s="54" t="str">
        <f aca="false">IF(N(D166)=0,"",D166*'Ash EAB'!$B$11)</f>
        <v/>
      </c>
      <c r="M166" s="54" t="str">
        <f aca="false">IF(N(D166)=0,"",L166*ROUNDUP('Ash EAB'!$B$17/'Ash EAB'!$B$12,0))</f>
        <v/>
      </c>
      <c r="N166" s="54" t="str">
        <f aca="false">IF(N(D166)=0,"",D166*'Ash EAB'!$B$13+'Ash EAB'!$B$15)</f>
        <v/>
      </c>
      <c r="O166" s="54" t="str">
        <f aca="false">IF(N(D166)=0,"",D166*'Ash EAB'!$B$13*'Ash EAB'!$B$14+'Ash EAB'!$B$15)</f>
        <v/>
      </c>
      <c r="P166" s="47" t="str">
        <f aca="false">IF(N(D166)=0,"",IF(M166&lt;N166,"Treat","Replace"))</f>
        <v/>
      </c>
      <c r="Q166" s="43"/>
      <c r="R166" s="37"/>
      <c r="S166" s="37" t="str">
        <f aca="false">IF(R166="","",EDATE(R166,ROUND('Ash EAB'!$B$12*12,0)))</f>
        <v/>
      </c>
      <c r="T166" s="47"/>
      <c r="U166" s="12"/>
    </row>
    <row r="167" customFormat="false" ht="15" hidden="false" customHeight="true" outlineLevel="0" collapsed="false">
      <c r="A167" s="43"/>
      <c r="B167" s="81"/>
      <c r="C167" s="12"/>
      <c r="D167" s="42"/>
      <c r="E167" s="85"/>
      <c r="F167" s="47"/>
      <c r="G167" s="47"/>
      <c r="H167" s="47"/>
      <c r="I167" s="47"/>
      <c r="J167" s="12" t="str">
        <f aca="false">IF(N(D167)=0,"",IF(N(E167)&gt;0.5,IF(I167="Y","REMOVE NOW: target at risk","REMOVE NOW"),IF(N(E167)&gt;=0.3,"GRAY ZONE: assess structure",IF(G167="High","TREAT",IF(F167="Y","REMOVE AND REPLACE","PLANT FIRST, REMOVE LATER")))))</f>
        <v/>
      </c>
      <c r="K167" s="12" t="str">
        <f aca="false">IF(N(D167)=0,"",IF(J167="TREAT","Successor if space: ","")&amp;IF(H167="Wet","Quercus bicolor or Malus fusca",IF(H167="Riparian","Natives only: Malus fusca, Salix, Q. garryana on edges",IF(H167="Upland","Quercus garryana or Q. macrocarpa","Set site type"))))</f>
        <v/>
      </c>
      <c r="L167" s="54" t="str">
        <f aca="false">IF(N(D167)=0,"",D167*'Ash EAB'!$B$11)</f>
        <v/>
      </c>
      <c r="M167" s="54" t="str">
        <f aca="false">IF(N(D167)=0,"",L167*ROUNDUP('Ash EAB'!$B$17/'Ash EAB'!$B$12,0))</f>
        <v/>
      </c>
      <c r="N167" s="54" t="str">
        <f aca="false">IF(N(D167)=0,"",D167*'Ash EAB'!$B$13+'Ash EAB'!$B$15)</f>
        <v/>
      </c>
      <c r="O167" s="54" t="str">
        <f aca="false">IF(N(D167)=0,"",D167*'Ash EAB'!$B$13*'Ash EAB'!$B$14+'Ash EAB'!$B$15)</f>
        <v/>
      </c>
      <c r="P167" s="47" t="str">
        <f aca="false">IF(N(D167)=0,"",IF(M167&lt;N167,"Treat","Replace"))</f>
        <v/>
      </c>
      <c r="Q167" s="43"/>
      <c r="R167" s="37"/>
      <c r="S167" s="37" t="str">
        <f aca="false">IF(R167="","",EDATE(R167,ROUND('Ash EAB'!$B$12*12,0)))</f>
        <v/>
      </c>
      <c r="T167" s="47"/>
      <c r="U167" s="12"/>
    </row>
    <row r="168" customFormat="false" ht="15" hidden="false" customHeight="true" outlineLevel="0" collapsed="false">
      <c r="A168" s="43"/>
      <c r="B168" s="81"/>
      <c r="C168" s="12"/>
      <c r="D168" s="42"/>
      <c r="E168" s="85"/>
      <c r="F168" s="47"/>
      <c r="G168" s="47"/>
      <c r="H168" s="47"/>
      <c r="I168" s="47"/>
      <c r="J168" s="12" t="str">
        <f aca="false">IF(N(D168)=0,"",IF(N(E168)&gt;0.5,IF(I168="Y","REMOVE NOW: target at risk","REMOVE NOW"),IF(N(E168)&gt;=0.3,"GRAY ZONE: assess structure",IF(G168="High","TREAT",IF(F168="Y","REMOVE AND REPLACE","PLANT FIRST, REMOVE LATER")))))</f>
        <v/>
      </c>
      <c r="K168" s="12" t="str">
        <f aca="false">IF(N(D168)=0,"",IF(J168="TREAT","Successor if space: ","")&amp;IF(H168="Wet","Quercus bicolor or Malus fusca",IF(H168="Riparian","Natives only: Malus fusca, Salix, Q. garryana on edges",IF(H168="Upland","Quercus garryana or Q. macrocarpa","Set site type"))))</f>
        <v/>
      </c>
      <c r="L168" s="54" t="str">
        <f aca="false">IF(N(D168)=0,"",D168*'Ash EAB'!$B$11)</f>
        <v/>
      </c>
      <c r="M168" s="54" t="str">
        <f aca="false">IF(N(D168)=0,"",L168*ROUNDUP('Ash EAB'!$B$17/'Ash EAB'!$B$12,0))</f>
        <v/>
      </c>
      <c r="N168" s="54" t="str">
        <f aca="false">IF(N(D168)=0,"",D168*'Ash EAB'!$B$13+'Ash EAB'!$B$15)</f>
        <v/>
      </c>
      <c r="O168" s="54" t="str">
        <f aca="false">IF(N(D168)=0,"",D168*'Ash EAB'!$B$13*'Ash EAB'!$B$14+'Ash EAB'!$B$15)</f>
        <v/>
      </c>
      <c r="P168" s="47" t="str">
        <f aca="false">IF(N(D168)=0,"",IF(M168&lt;N168,"Treat","Replace"))</f>
        <v/>
      </c>
      <c r="Q168" s="43"/>
      <c r="R168" s="37"/>
      <c r="S168" s="37" t="str">
        <f aca="false">IF(R168="","",EDATE(R168,ROUND('Ash EAB'!$B$12*12,0)))</f>
        <v/>
      </c>
      <c r="T168" s="47"/>
      <c r="U168" s="12"/>
    </row>
    <row r="169" customFormat="false" ht="15" hidden="false" customHeight="true" outlineLevel="0" collapsed="false">
      <c r="A169" s="43"/>
      <c r="B169" s="81"/>
      <c r="C169" s="12"/>
      <c r="D169" s="42"/>
      <c r="E169" s="85"/>
      <c r="F169" s="47"/>
      <c r="G169" s="47"/>
      <c r="H169" s="47"/>
      <c r="I169" s="47"/>
      <c r="J169" s="12" t="str">
        <f aca="false">IF(N(D169)=0,"",IF(N(E169)&gt;0.5,IF(I169="Y","REMOVE NOW: target at risk","REMOVE NOW"),IF(N(E169)&gt;=0.3,"GRAY ZONE: assess structure",IF(G169="High","TREAT",IF(F169="Y","REMOVE AND REPLACE","PLANT FIRST, REMOVE LATER")))))</f>
        <v/>
      </c>
      <c r="K169" s="12" t="str">
        <f aca="false">IF(N(D169)=0,"",IF(J169="TREAT","Successor if space: ","")&amp;IF(H169="Wet","Quercus bicolor or Malus fusca",IF(H169="Riparian","Natives only: Malus fusca, Salix, Q. garryana on edges",IF(H169="Upland","Quercus garryana or Q. macrocarpa","Set site type"))))</f>
        <v/>
      </c>
      <c r="L169" s="54" t="str">
        <f aca="false">IF(N(D169)=0,"",D169*'Ash EAB'!$B$11)</f>
        <v/>
      </c>
      <c r="M169" s="54" t="str">
        <f aca="false">IF(N(D169)=0,"",L169*ROUNDUP('Ash EAB'!$B$17/'Ash EAB'!$B$12,0))</f>
        <v/>
      </c>
      <c r="N169" s="54" t="str">
        <f aca="false">IF(N(D169)=0,"",D169*'Ash EAB'!$B$13+'Ash EAB'!$B$15)</f>
        <v/>
      </c>
      <c r="O169" s="54" t="str">
        <f aca="false">IF(N(D169)=0,"",D169*'Ash EAB'!$B$13*'Ash EAB'!$B$14+'Ash EAB'!$B$15)</f>
        <v/>
      </c>
      <c r="P169" s="47" t="str">
        <f aca="false">IF(N(D169)=0,"",IF(M169&lt;N169,"Treat","Replace"))</f>
        <v/>
      </c>
      <c r="Q169" s="43"/>
      <c r="R169" s="37"/>
      <c r="S169" s="37" t="str">
        <f aca="false">IF(R169="","",EDATE(R169,ROUND('Ash EAB'!$B$12*12,0)))</f>
        <v/>
      </c>
      <c r="T169" s="47"/>
      <c r="U169" s="12"/>
    </row>
    <row r="170" customFormat="false" ht="15" hidden="false" customHeight="true" outlineLevel="0" collapsed="false">
      <c r="A170" s="43"/>
      <c r="B170" s="81"/>
      <c r="C170" s="12"/>
      <c r="D170" s="42"/>
      <c r="E170" s="85"/>
      <c r="F170" s="47"/>
      <c r="G170" s="47"/>
      <c r="H170" s="47"/>
      <c r="I170" s="47"/>
      <c r="J170" s="12" t="str">
        <f aca="false">IF(N(D170)=0,"",IF(N(E170)&gt;0.5,IF(I170="Y","REMOVE NOW: target at risk","REMOVE NOW"),IF(N(E170)&gt;=0.3,"GRAY ZONE: assess structure",IF(G170="High","TREAT",IF(F170="Y","REMOVE AND REPLACE","PLANT FIRST, REMOVE LATER")))))</f>
        <v/>
      </c>
      <c r="K170" s="12" t="str">
        <f aca="false">IF(N(D170)=0,"",IF(J170="TREAT","Successor if space: ","")&amp;IF(H170="Wet","Quercus bicolor or Malus fusca",IF(H170="Riparian","Natives only: Malus fusca, Salix, Q. garryana on edges",IF(H170="Upland","Quercus garryana or Q. macrocarpa","Set site type"))))</f>
        <v/>
      </c>
      <c r="L170" s="54" t="str">
        <f aca="false">IF(N(D170)=0,"",D170*'Ash EAB'!$B$11)</f>
        <v/>
      </c>
      <c r="M170" s="54" t="str">
        <f aca="false">IF(N(D170)=0,"",L170*ROUNDUP('Ash EAB'!$B$17/'Ash EAB'!$B$12,0))</f>
        <v/>
      </c>
      <c r="N170" s="54" t="str">
        <f aca="false">IF(N(D170)=0,"",D170*'Ash EAB'!$B$13+'Ash EAB'!$B$15)</f>
        <v/>
      </c>
      <c r="O170" s="54" t="str">
        <f aca="false">IF(N(D170)=0,"",D170*'Ash EAB'!$B$13*'Ash EAB'!$B$14+'Ash EAB'!$B$15)</f>
        <v/>
      </c>
      <c r="P170" s="47" t="str">
        <f aca="false">IF(N(D170)=0,"",IF(M170&lt;N170,"Treat","Replace"))</f>
        <v/>
      </c>
      <c r="Q170" s="43"/>
      <c r="R170" s="37"/>
      <c r="S170" s="37" t="str">
        <f aca="false">IF(R170="","",EDATE(R170,ROUND('Ash EAB'!$B$12*12,0)))</f>
        <v/>
      </c>
      <c r="T170" s="47"/>
      <c r="U170" s="12"/>
    </row>
    <row r="171" customFormat="false" ht="15" hidden="false" customHeight="true" outlineLevel="0" collapsed="false">
      <c r="A171" s="43"/>
      <c r="B171" s="81"/>
      <c r="C171" s="12"/>
      <c r="D171" s="42"/>
      <c r="E171" s="85"/>
      <c r="F171" s="47"/>
      <c r="G171" s="47"/>
      <c r="H171" s="47"/>
      <c r="I171" s="47"/>
      <c r="J171" s="12" t="str">
        <f aca="false">IF(N(D171)=0,"",IF(N(E171)&gt;0.5,IF(I171="Y","REMOVE NOW: target at risk","REMOVE NOW"),IF(N(E171)&gt;=0.3,"GRAY ZONE: assess structure",IF(G171="High","TREAT",IF(F171="Y","REMOVE AND REPLACE","PLANT FIRST, REMOVE LATER")))))</f>
        <v/>
      </c>
      <c r="K171" s="12" t="str">
        <f aca="false">IF(N(D171)=0,"",IF(J171="TREAT","Successor if space: ","")&amp;IF(H171="Wet","Quercus bicolor or Malus fusca",IF(H171="Riparian","Natives only: Malus fusca, Salix, Q. garryana on edges",IF(H171="Upland","Quercus garryana or Q. macrocarpa","Set site type"))))</f>
        <v/>
      </c>
      <c r="L171" s="54" t="str">
        <f aca="false">IF(N(D171)=0,"",D171*'Ash EAB'!$B$11)</f>
        <v/>
      </c>
      <c r="M171" s="54" t="str">
        <f aca="false">IF(N(D171)=0,"",L171*ROUNDUP('Ash EAB'!$B$17/'Ash EAB'!$B$12,0))</f>
        <v/>
      </c>
      <c r="N171" s="54" t="str">
        <f aca="false">IF(N(D171)=0,"",D171*'Ash EAB'!$B$13+'Ash EAB'!$B$15)</f>
        <v/>
      </c>
      <c r="O171" s="54" t="str">
        <f aca="false">IF(N(D171)=0,"",D171*'Ash EAB'!$B$13*'Ash EAB'!$B$14+'Ash EAB'!$B$15)</f>
        <v/>
      </c>
      <c r="P171" s="47" t="str">
        <f aca="false">IF(N(D171)=0,"",IF(M171&lt;N171,"Treat","Replace"))</f>
        <v/>
      </c>
      <c r="Q171" s="43"/>
      <c r="R171" s="37"/>
      <c r="S171" s="37" t="str">
        <f aca="false">IF(R171="","",EDATE(R171,ROUND('Ash EAB'!$B$12*12,0)))</f>
        <v/>
      </c>
      <c r="T171" s="47"/>
      <c r="U171" s="12"/>
    </row>
    <row r="172" customFormat="false" ht="15" hidden="false" customHeight="true" outlineLevel="0" collapsed="false">
      <c r="A172" s="43"/>
      <c r="B172" s="81"/>
      <c r="C172" s="12"/>
      <c r="D172" s="42"/>
      <c r="E172" s="85"/>
      <c r="F172" s="47"/>
      <c r="G172" s="47"/>
      <c r="H172" s="47"/>
      <c r="I172" s="47"/>
      <c r="J172" s="12" t="str">
        <f aca="false">IF(N(D172)=0,"",IF(N(E172)&gt;0.5,IF(I172="Y","REMOVE NOW: target at risk","REMOVE NOW"),IF(N(E172)&gt;=0.3,"GRAY ZONE: assess structure",IF(G172="High","TREAT",IF(F172="Y","REMOVE AND REPLACE","PLANT FIRST, REMOVE LATER")))))</f>
        <v/>
      </c>
      <c r="K172" s="12" t="str">
        <f aca="false">IF(N(D172)=0,"",IF(J172="TREAT","Successor if space: ","")&amp;IF(H172="Wet","Quercus bicolor or Malus fusca",IF(H172="Riparian","Natives only: Malus fusca, Salix, Q. garryana on edges",IF(H172="Upland","Quercus garryana or Q. macrocarpa","Set site type"))))</f>
        <v/>
      </c>
      <c r="L172" s="54" t="str">
        <f aca="false">IF(N(D172)=0,"",D172*'Ash EAB'!$B$11)</f>
        <v/>
      </c>
      <c r="M172" s="54" t="str">
        <f aca="false">IF(N(D172)=0,"",L172*ROUNDUP('Ash EAB'!$B$17/'Ash EAB'!$B$12,0))</f>
        <v/>
      </c>
      <c r="N172" s="54" t="str">
        <f aca="false">IF(N(D172)=0,"",D172*'Ash EAB'!$B$13+'Ash EAB'!$B$15)</f>
        <v/>
      </c>
      <c r="O172" s="54" t="str">
        <f aca="false">IF(N(D172)=0,"",D172*'Ash EAB'!$B$13*'Ash EAB'!$B$14+'Ash EAB'!$B$15)</f>
        <v/>
      </c>
      <c r="P172" s="47" t="str">
        <f aca="false">IF(N(D172)=0,"",IF(M172&lt;N172,"Treat","Replace"))</f>
        <v/>
      </c>
      <c r="Q172" s="43"/>
      <c r="R172" s="37"/>
      <c r="S172" s="37" t="str">
        <f aca="false">IF(R172="","",EDATE(R172,ROUND('Ash EAB'!$B$12*12,0)))</f>
        <v/>
      </c>
      <c r="T172" s="47"/>
      <c r="U172" s="12"/>
    </row>
    <row r="173" customFormat="false" ht="15" hidden="false" customHeight="true" outlineLevel="0" collapsed="false">
      <c r="A173" s="43"/>
      <c r="B173" s="81"/>
      <c r="C173" s="12"/>
      <c r="D173" s="42"/>
      <c r="E173" s="85"/>
      <c r="F173" s="47"/>
      <c r="G173" s="47"/>
      <c r="H173" s="47"/>
      <c r="I173" s="47"/>
      <c r="J173" s="12" t="str">
        <f aca="false">IF(N(D173)=0,"",IF(N(E173)&gt;0.5,IF(I173="Y","REMOVE NOW: target at risk","REMOVE NOW"),IF(N(E173)&gt;=0.3,"GRAY ZONE: assess structure",IF(G173="High","TREAT",IF(F173="Y","REMOVE AND REPLACE","PLANT FIRST, REMOVE LATER")))))</f>
        <v/>
      </c>
      <c r="K173" s="12" t="str">
        <f aca="false">IF(N(D173)=0,"",IF(J173="TREAT","Successor if space: ","")&amp;IF(H173="Wet","Quercus bicolor or Malus fusca",IF(H173="Riparian","Natives only: Malus fusca, Salix, Q. garryana on edges",IF(H173="Upland","Quercus garryana or Q. macrocarpa","Set site type"))))</f>
        <v/>
      </c>
      <c r="L173" s="54" t="str">
        <f aca="false">IF(N(D173)=0,"",D173*'Ash EAB'!$B$11)</f>
        <v/>
      </c>
      <c r="M173" s="54" t="str">
        <f aca="false">IF(N(D173)=0,"",L173*ROUNDUP('Ash EAB'!$B$17/'Ash EAB'!$B$12,0))</f>
        <v/>
      </c>
      <c r="N173" s="54" t="str">
        <f aca="false">IF(N(D173)=0,"",D173*'Ash EAB'!$B$13+'Ash EAB'!$B$15)</f>
        <v/>
      </c>
      <c r="O173" s="54" t="str">
        <f aca="false">IF(N(D173)=0,"",D173*'Ash EAB'!$B$13*'Ash EAB'!$B$14+'Ash EAB'!$B$15)</f>
        <v/>
      </c>
      <c r="P173" s="47" t="str">
        <f aca="false">IF(N(D173)=0,"",IF(M173&lt;N173,"Treat","Replace"))</f>
        <v/>
      </c>
      <c r="Q173" s="43"/>
      <c r="R173" s="37"/>
      <c r="S173" s="37" t="str">
        <f aca="false">IF(R173="","",EDATE(R173,ROUND('Ash EAB'!$B$12*12,0)))</f>
        <v/>
      </c>
      <c r="T173" s="47"/>
      <c r="U173" s="12"/>
    </row>
    <row r="174" customFormat="false" ht="15" hidden="false" customHeight="true" outlineLevel="0" collapsed="false">
      <c r="A174" s="43"/>
      <c r="B174" s="81"/>
      <c r="C174" s="12"/>
      <c r="D174" s="42"/>
      <c r="E174" s="85"/>
      <c r="F174" s="47"/>
      <c r="G174" s="47"/>
      <c r="H174" s="47"/>
      <c r="I174" s="47"/>
      <c r="J174" s="12" t="str">
        <f aca="false">IF(N(D174)=0,"",IF(N(E174)&gt;0.5,IF(I174="Y","REMOVE NOW: target at risk","REMOVE NOW"),IF(N(E174)&gt;=0.3,"GRAY ZONE: assess structure",IF(G174="High","TREAT",IF(F174="Y","REMOVE AND REPLACE","PLANT FIRST, REMOVE LATER")))))</f>
        <v/>
      </c>
      <c r="K174" s="12" t="str">
        <f aca="false">IF(N(D174)=0,"",IF(J174="TREAT","Successor if space: ","")&amp;IF(H174="Wet","Quercus bicolor or Malus fusca",IF(H174="Riparian","Natives only: Malus fusca, Salix, Q. garryana on edges",IF(H174="Upland","Quercus garryana or Q. macrocarpa","Set site type"))))</f>
        <v/>
      </c>
      <c r="L174" s="54" t="str">
        <f aca="false">IF(N(D174)=0,"",D174*'Ash EAB'!$B$11)</f>
        <v/>
      </c>
      <c r="M174" s="54" t="str">
        <f aca="false">IF(N(D174)=0,"",L174*ROUNDUP('Ash EAB'!$B$17/'Ash EAB'!$B$12,0))</f>
        <v/>
      </c>
      <c r="N174" s="54" t="str">
        <f aca="false">IF(N(D174)=0,"",D174*'Ash EAB'!$B$13+'Ash EAB'!$B$15)</f>
        <v/>
      </c>
      <c r="O174" s="54" t="str">
        <f aca="false">IF(N(D174)=0,"",D174*'Ash EAB'!$B$13*'Ash EAB'!$B$14+'Ash EAB'!$B$15)</f>
        <v/>
      </c>
      <c r="P174" s="47" t="str">
        <f aca="false">IF(N(D174)=0,"",IF(M174&lt;N174,"Treat","Replace"))</f>
        <v/>
      </c>
      <c r="Q174" s="43"/>
      <c r="R174" s="37"/>
      <c r="S174" s="37" t="str">
        <f aca="false">IF(R174="","",EDATE(R174,ROUND('Ash EAB'!$B$12*12,0)))</f>
        <v/>
      </c>
      <c r="T174" s="47"/>
      <c r="U174" s="12"/>
    </row>
    <row r="175" customFormat="false" ht="15" hidden="false" customHeight="true" outlineLevel="0" collapsed="false">
      <c r="A175" s="43"/>
      <c r="B175" s="81"/>
      <c r="C175" s="12"/>
      <c r="D175" s="42"/>
      <c r="E175" s="85"/>
      <c r="F175" s="47"/>
      <c r="G175" s="47"/>
      <c r="H175" s="47"/>
      <c r="I175" s="47"/>
      <c r="J175" s="12" t="str">
        <f aca="false">IF(N(D175)=0,"",IF(N(E175)&gt;0.5,IF(I175="Y","REMOVE NOW: target at risk","REMOVE NOW"),IF(N(E175)&gt;=0.3,"GRAY ZONE: assess structure",IF(G175="High","TREAT",IF(F175="Y","REMOVE AND REPLACE","PLANT FIRST, REMOVE LATER")))))</f>
        <v/>
      </c>
      <c r="K175" s="12" t="str">
        <f aca="false">IF(N(D175)=0,"",IF(J175="TREAT","Successor if space: ","")&amp;IF(H175="Wet","Quercus bicolor or Malus fusca",IF(H175="Riparian","Natives only: Malus fusca, Salix, Q. garryana on edges",IF(H175="Upland","Quercus garryana or Q. macrocarpa","Set site type"))))</f>
        <v/>
      </c>
      <c r="L175" s="54" t="str">
        <f aca="false">IF(N(D175)=0,"",D175*'Ash EAB'!$B$11)</f>
        <v/>
      </c>
      <c r="M175" s="54" t="str">
        <f aca="false">IF(N(D175)=0,"",L175*ROUNDUP('Ash EAB'!$B$17/'Ash EAB'!$B$12,0))</f>
        <v/>
      </c>
      <c r="N175" s="54" t="str">
        <f aca="false">IF(N(D175)=0,"",D175*'Ash EAB'!$B$13+'Ash EAB'!$B$15)</f>
        <v/>
      </c>
      <c r="O175" s="54" t="str">
        <f aca="false">IF(N(D175)=0,"",D175*'Ash EAB'!$B$13*'Ash EAB'!$B$14+'Ash EAB'!$B$15)</f>
        <v/>
      </c>
      <c r="P175" s="47" t="str">
        <f aca="false">IF(N(D175)=0,"",IF(M175&lt;N175,"Treat","Replace"))</f>
        <v/>
      </c>
      <c r="Q175" s="43"/>
      <c r="R175" s="37"/>
      <c r="S175" s="37" t="str">
        <f aca="false">IF(R175="","",EDATE(R175,ROUND('Ash EAB'!$B$12*12,0)))</f>
        <v/>
      </c>
      <c r="T175" s="47"/>
      <c r="U175" s="12"/>
    </row>
    <row r="176" customFormat="false" ht="15" hidden="false" customHeight="true" outlineLevel="0" collapsed="false">
      <c r="A176" s="43"/>
      <c r="B176" s="81"/>
      <c r="C176" s="12"/>
      <c r="D176" s="42"/>
      <c r="E176" s="85"/>
      <c r="F176" s="47"/>
      <c r="G176" s="47"/>
      <c r="H176" s="47"/>
      <c r="I176" s="47"/>
      <c r="J176" s="12" t="str">
        <f aca="false">IF(N(D176)=0,"",IF(N(E176)&gt;0.5,IF(I176="Y","REMOVE NOW: target at risk","REMOVE NOW"),IF(N(E176)&gt;=0.3,"GRAY ZONE: assess structure",IF(G176="High","TREAT",IF(F176="Y","REMOVE AND REPLACE","PLANT FIRST, REMOVE LATER")))))</f>
        <v/>
      </c>
      <c r="K176" s="12" t="str">
        <f aca="false">IF(N(D176)=0,"",IF(J176="TREAT","Successor if space: ","")&amp;IF(H176="Wet","Quercus bicolor or Malus fusca",IF(H176="Riparian","Natives only: Malus fusca, Salix, Q. garryana on edges",IF(H176="Upland","Quercus garryana or Q. macrocarpa","Set site type"))))</f>
        <v/>
      </c>
      <c r="L176" s="54" t="str">
        <f aca="false">IF(N(D176)=0,"",D176*'Ash EAB'!$B$11)</f>
        <v/>
      </c>
      <c r="M176" s="54" t="str">
        <f aca="false">IF(N(D176)=0,"",L176*ROUNDUP('Ash EAB'!$B$17/'Ash EAB'!$B$12,0))</f>
        <v/>
      </c>
      <c r="N176" s="54" t="str">
        <f aca="false">IF(N(D176)=0,"",D176*'Ash EAB'!$B$13+'Ash EAB'!$B$15)</f>
        <v/>
      </c>
      <c r="O176" s="54" t="str">
        <f aca="false">IF(N(D176)=0,"",D176*'Ash EAB'!$B$13*'Ash EAB'!$B$14+'Ash EAB'!$B$15)</f>
        <v/>
      </c>
      <c r="P176" s="47" t="str">
        <f aca="false">IF(N(D176)=0,"",IF(M176&lt;N176,"Treat","Replace"))</f>
        <v/>
      </c>
      <c r="Q176" s="43"/>
      <c r="R176" s="37"/>
      <c r="S176" s="37" t="str">
        <f aca="false">IF(R176="","",EDATE(R176,ROUND('Ash EAB'!$B$12*12,0)))</f>
        <v/>
      </c>
      <c r="T176" s="47"/>
      <c r="U176" s="12"/>
    </row>
    <row r="177" customFormat="false" ht="15" hidden="false" customHeight="true" outlineLevel="0" collapsed="false">
      <c r="A177" s="43"/>
      <c r="B177" s="81"/>
      <c r="C177" s="12"/>
      <c r="D177" s="42"/>
      <c r="E177" s="85"/>
      <c r="F177" s="47"/>
      <c r="G177" s="47"/>
      <c r="H177" s="47"/>
      <c r="I177" s="47"/>
      <c r="J177" s="12" t="str">
        <f aca="false">IF(N(D177)=0,"",IF(N(E177)&gt;0.5,IF(I177="Y","REMOVE NOW: target at risk","REMOVE NOW"),IF(N(E177)&gt;=0.3,"GRAY ZONE: assess structure",IF(G177="High","TREAT",IF(F177="Y","REMOVE AND REPLACE","PLANT FIRST, REMOVE LATER")))))</f>
        <v/>
      </c>
      <c r="K177" s="12" t="str">
        <f aca="false">IF(N(D177)=0,"",IF(J177="TREAT","Successor if space: ","")&amp;IF(H177="Wet","Quercus bicolor or Malus fusca",IF(H177="Riparian","Natives only: Malus fusca, Salix, Q. garryana on edges",IF(H177="Upland","Quercus garryana or Q. macrocarpa","Set site type"))))</f>
        <v/>
      </c>
      <c r="L177" s="54" t="str">
        <f aca="false">IF(N(D177)=0,"",D177*'Ash EAB'!$B$11)</f>
        <v/>
      </c>
      <c r="M177" s="54" t="str">
        <f aca="false">IF(N(D177)=0,"",L177*ROUNDUP('Ash EAB'!$B$17/'Ash EAB'!$B$12,0))</f>
        <v/>
      </c>
      <c r="N177" s="54" t="str">
        <f aca="false">IF(N(D177)=0,"",D177*'Ash EAB'!$B$13+'Ash EAB'!$B$15)</f>
        <v/>
      </c>
      <c r="O177" s="54" t="str">
        <f aca="false">IF(N(D177)=0,"",D177*'Ash EAB'!$B$13*'Ash EAB'!$B$14+'Ash EAB'!$B$15)</f>
        <v/>
      </c>
      <c r="P177" s="47" t="str">
        <f aca="false">IF(N(D177)=0,"",IF(M177&lt;N177,"Treat","Replace"))</f>
        <v/>
      </c>
      <c r="Q177" s="43"/>
      <c r="R177" s="37"/>
      <c r="S177" s="37" t="str">
        <f aca="false">IF(R177="","",EDATE(R177,ROUND('Ash EAB'!$B$12*12,0)))</f>
        <v/>
      </c>
      <c r="T177" s="47"/>
      <c r="U177" s="12"/>
    </row>
    <row r="178" customFormat="false" ht="15" hidden="false" customHeight="true" outlineLevel="0" collapsed="false">
      <c r="A178" s="43"/>
      <c r="B178" s="81"/>
      <c r="C178" s="12"/>
      <c r="D178" s="42"/>
      <c r="E178" s="85"/>
      <c r="F178" s="47"/>
      <c r="G178" s="47"/>
      <c r="H178" s="47"/>
      <c r="I178" s="47"/>
      <c r="J178" s="12" t="str">
        <f aca="false">IF(N(D178)=0,"",IF(N(E178)&gt;0.5,IF(I178="Y","REMOVE NOW: target at risk","REMOVE NOW"),IF(N(E178)&gt;=0.3,"GRAY ZONE: assess structure",IF(G178="High","TREAT",IF(F178="Y","REMOVE AND REPLACE","PLANT FIRST, REMOVE LATER")))))</f>
        <v/>
      </c>
      <c r="K178" s="12" t="str">
        <f aca="false">IF(N(D178)=0,"",IF(J178="TREAT","Successor if space: ","")&amp;IF(H178="Wet","Quercus bicolor or Malus fusca",IF(H178="Riparian","Natives only: Malus fusca, Salix, Q. garryana on edges",IF(H178="Upland","Quercus garryana or Q. macrocarpa","Set site type"))))</f>
        <v/>
      </c>
      <c r="L178" s="54" t="str">
        <f aca="false">IF(N(D178)=0,"",D178*'Ash EAB'!$B$11)</f>
        <v/>
      </c>
      <c r="M178" s="54" t="str">
        <f aca="false">IF(N(D178)=0,"",L178*ROUNDUP('Ash EAB'!$B$17/'Ash EAB'!$B$12,0))</f>
        <v/>
      </c>
      <c r="N178" s="54" t="str">
        <f aca="false">IF(N(D178)=0,"",D178*'Ash EAB'!$B$13+'Ash EAB'!$B$15)</f>
        <v/>
      </c>
      <c r="O178" s="54" t="str">
        <f aca="false">IF(N(D178)=0,"",D178*'Ash EAB'!$B$13*'Ash EAB'!$B$14+'Ash EAB'!$B$15)</f>
        <v/>
      </c>
      <c r="P178" s="47" t="str">
        <f aca="false">IF(N(D178)=0,"",IF(M178&lt;N178,"Treat","Replace"))</f>
        <v/>
      </c>
      <c r="Q178" s="43"/>
      <c r="R178" s="37"/>
      <c r="S178" s="37" t="str">
        <f aca="false">IF(R178="","",EDATE(R178,ROUND('Ash EAB'!$B$12*12,0)))</f>
        <v/>
      </c>
      <c r="T178" s="47"/>
      <c r="U178" s="12"/>
    </row>
    <row r="179" customFormat="false" ht="15" hidden="false" customHeight="true" outlineLevel="0" collapsed="false">
      <c r="A179" s="43"/>
      <c r="B179" s="81"/>
      <c r="C179" s="12"/>
      <c r="D179" s="42"/>
      <c r="E179" s="85"/>
      <c r="F179" s="47"/>
      <c r="G179" s="47"/>
      <c r="H179" s="47"/>
      <c r="I179" s="47"/>
      <c r="J179" s="12" t="str">
        <f aca="false">IF(N(D179)=0,"",IF(N(E179)&gt;0.5,IF(I179="Y","REMOVE NOW: target at risk","REMOVE NOW"),IF(N(E179)&gt;=0.3,"GRAY ZONE: assess structure",IF(G179="High","TREAT",IF(F179="Y","REMOVE AND REPLACE","PLANT FIRST, REMOVE LATER")))))</f>
        <v/>
      </c>
      <c r="K179" s="12" t="str">
        <f aca="false">IF(N(D179)=0,"",IF(J179="TREAT","Successor if space: ","")&amp;IF(H179="Wet","Quercus bicolor or Malus fusca",IF(H179="Riparian","Natives only: Malus fusca, Salix, Q. garryana on edges",IF(H179="Upland","Quercus garryana or Q. macrocarpa","Set site type"))))</f>
        <v/>
      </c>
      <c r="L179" s="54" t="str">
        <f aca="false">IF(N(D179)=0,"",D179*'Ash EAB'!$B$11)</f>
        <v/>
      </c>
      <c r="M179" s="54" t="str">
        <f aca="false">IF(N(D179)=0,"",L179*ROUNDUP('Ash EAB'!$B$17/'Ash EAB'!$B$12,0))</f>
        <v/>
      </c>
      <c r="N179" s="54" t="str">
        <f aca="false">IF(N(D179)=0,"",D179*'Ash EAB'!$B$13+'Ash EAB'!$B$15)</f>
        <v/>
      </c>
      <c r="O179" s="54" t="str">
        <f aca="false">IF(N(D179)=0,"",D179*'Ash EAB'!$B$13*'Ash EAB'!$B$14+'Ash EAB'!$B$15)</f>
        <v/>
      </c>
      <c r="P179" s="47" t="str">
        <f aca="false">IF(N(D179)=0,"",IF(M179&lt;N179,"Treat","Replace"))</f>
        <v/>
      </c>
      <c r="Q179" s="43"/>
      <c r="R179" s="37"/>
      <c r="S179" s="37" t="str">
        <f aca="false">IF(R179="","",EDATE(R179,ROUND('Ash EAB'!$B$12*12,0)))</f>
        <v/>
      </c>
      <c r="T179" s="47"/>
      <c r="U179" s="12"/>
    </row>
    <row r="180" customFormat="false" ht="15" hidden="false" customHeight="true" outlineLevel="0" collapsed="false">
      <c r="A180" s="43"/>
      <c r="B180" s="81"/>
      <c r="C180" s="12"/>
      <c r="D180" s="42"/>
      <c r="E180" s="85"/>
      <c r="F180" s="47"/>
      <c r="G180" s="47"/>
      <c r="H180" s="47"/>
      <c r="I180" s="47"/>
      <c r="J180" s="12" t="str">
        <f aca="false">IF(N(D180)=0,"",IF(N(E180)&gt;0.5,IF(I180="Y","REMOVE NOW: target at risk","REMOVE NOW"),IF(N(E180)&gt;=0.3,"GRAY ZONE: assess structure",IF(G180="High","TREAT",IF(F180="Y","REMOVE AND REPLACE","PLANT FIRST, REMOVE LATER")))))</f>
        <v/>
      </c>
      <c r="K180" s="12" t="str">
        <f aca="false">IF(N(D180)=0,"",IF(J180="TREAT","Successor if space: ","")&amp;IF(H180="Wet","Quercus bicolor or Malus fusca",IF(H180="Riparian","Natives only: Malus fusca, Salix, Q. garryana on edges",IF(H180="Upland","Quercus garryana or Q. macrocarpa","Set site type"))))</f>
        <v/>
      </c>
      <c r="L180" s="54" t="str">
        <f aca="false">IF(N(D180)=0,"",D180*'Ash EAB'!$B$11)</f>
        <v/>
      </c>
      <c r="M180" s="54" t="str">
        <f aca="false">IF(N(D180)=0,"",L180*ROUNDUP('Ash EAB'!$B$17/'Ash EAB'!$B$12,0))</f>
        <v/>
      </c>
      <c r="N180" s="54" t="str">
        <f aca="false">IF(N(D180)=0,"",D180*'Ash EAB'!$B$13+'Ash EAB'!$B$15)</f>
        <v/>
      </c>
      <c r="O180" s="54" t="str">
        <f aca="false">IF(N(D180)=0,"",D180*'Ash EAB'!$B$13*'Ash EAB'!$B$14+'Ash EAB'!$B$15)</f>
        <v/>
      </c>
      <c r="P180" s="47" t="str">
        <f aca="false">IF(N(D180)=0,"",IF(M180&lt;N180,"Treat","Replace"))</f>
        <v/>
      </c>
      <c r="Q180" s="43"/>
      <c r="R180" s="37"/>
      <c r="S180" s="37" t="str">
        <f aca="false">IF(R180="","",EDATE(R180,ROUND('Ash EAB'!$B$12*12,0)))</f>
        <v/>
      </c>
      <c r="T180" s="47"/>
      <c r="U180" s="12"/>
    </row>
    <row r="181" customFormat="false" ht="15" hidden="false" customHeight="true" outlineLevel="0" collapsed="false">
      <c r="A181" s="43"/>
      <c r="B181" s="81"/>
      <c r="C181" s="12"/>
      <c r="D181" s="42"/>
      <c r="E181" s="85"/>
      <c r="F181" s="47"/>
      <c r="G181" s="47"/>
      <c r="H181" s="47"/>
      <c r="I181" s="47"/>
      <c r="J181" s="12" t="str">
        <f aca="false">IF(N(D181)=0,"",IF(N(E181)&gt;0.5,IF(I181="Y","REMOVE NOW: target at risk","REMOVE NOW"),IF(N(E181)&gt;=0.3,"GRAY ZONE: assess structure",IF(G181="High","TREAT",IF(F181="Y","REMOVE AND REPLACE","PLANT FIRST, REMOVE LATER")))))</f>
        <v/>
      </c>
      <c r="K181" s="12" t="str">
        <f aca="false">IF(N(D181)=0,"",IF(J181="TREAT","Successor if space: ","")&amp;IF(H181="Wet","Quercus bicolor or Malus fusca",IF(H181="Riparian","Natives only: Malus fusca, Salix, Q. garryana on edges",IF(H181="Upland","Quercus garryana or Q. macrocarpa","Set site type"))))</f>
        <v/>
      </c>
      <c r="L181" s="54" t="str">
        <f aca="false">IF(N(D181)=0,"",D181*'Ash EAB'!$B$11)</f>
        <v/>
      </c>
      <c r="M181" s="54" t="str">
        <f aca="false">IF(N(D181)=0,"",L181*ROUNDUP('Ash EAB'!$B$17/'Ash EAB'!$B$12,0))</f>
        <v/>
      </c>
      <c r="N181" s="54" t="str">
        <f aca="false">IF(N(D181)=0,"",D181*'Ash EAB'!$B$13+'Ash EAB'!$B$15)</f>
        <v/>
      </c>
      <c r="O181" s="54" t="str">
        <f aca="false">IF(N(D181)=0,"",D181*'Ash EAB'!$B$13*'Ash EAB'!$B$14+'Ash EAB'!$B$15)</f>
        <v/>
      </c>
      <c r="P181" s="47" t="str">
        <f aca="false">IF(N(D181)=0,"",IF(M181&lt;N181,"Treat","Replace"))</f>
        <v/>
      </c>
      <c r="Q181" s="43"/>
      <c r="R181" s="37"/>
      <c r="S181" s="37" t="str">
        <f aca="false">IF(R181="","",EDATE(R181,ROUND('Ash EAB'!$B$12*12,0)))</f>
        <v/>
      </c>
      <c r="T181" s="47"/>
      <c r="U181" s="12"/>
    </row>
    <row r="182" customFormat="false" ht="15" hidden="false" customHeight="true" outlineLevel="0" collapsed="false">
      <c r="A182" s="43"/>
      <c r="B182" s="81"/>
      <c r="C182" s="12"/>
      <c r="D182" s="42"/>
      <c r="E182" s="85"/>
      <c r="F182" s="47"/>
      <c r="G182" s="47"/>
      <c r="H182" s="47"/>
      <c r="I182" s="47"/>
      <c r="J182" s="12" t="str">
        <f aca="false">IF(N(D182)=0,"",IF(N(E182)&gt;0.5,IF(I182="Y","REMOVE NOW: target at risk","REMOVE NOW"),IF(N(E182)&gt;=0.3,"GRAY ZONE: assess structure",IF(G182="High","TREAT",IF(F182="Y","REMOVE AND REPLACE","PLANT FIRST, REMOVE LATER")))))</f>
        <v/>
      </c>
      <c r="K182" s="12" t="str">
        <f aca="false">IF(N(D182)=0,"",IF(J182="TREAT","Successor if space: ","")&amp;IF(H182="Wet","Quercus bicolor or Malus fusca",IF(H182="Riparian","Natives only: Malus fusca, Salix, Q. garryana on edges",IF(H182="Upland","Quercus garryana or Q. macrocarpa","Set site type"))))</f>
        <v/>
      </c>
      <c r="L182" s="54" t="str">
        <f aca="false">IF(N(D182)=0,"",D182*'Ash EAB'!$B$11)</f>
        <v/>
      </c>
      <c r="M182" s="54" t="str">
        <f aca="false">IF(N(D182)=0,"",L182*ROUNDUP('Ash EAB'!$B$17/'Ash EAB'!$B$12,0))</f>
        <v/>
      </c>
      <c r="N182" s="54" t="str">
        <f aca="false">IF(N(D182)=0,"",D182*'Ash EAB'!$B$13+'Ash EAB'!$B$15)</f>
        <v/>
      </c>
      <c r="O182" s="54" t="str">
        <f aca="false">IF(N(D182)=0,"",D182*'Ash EAB'!$B$13*'Ash EAB'!$B$14+'Ash EAB'!$B$15)</f>
        <v/>
      </c>
      <c r="P182" s="47" t="str">
        <f aca="false">IF(N(D182)=0,"",IF(M182&lt;N182,"Treat","Replace"))</f>
        <v/>
      </c>
      <c r="Q182" s="43"/>
      <c r="R182" s="37"/>
      <c r="S182" s="37" t="str">
        <f aca="false">IF(R182="","",EDATE(R182,ROUND('Ash EAB'!$B$12*12,0)))</f>
        <v/>
      </c>
      <c r="T182" s="47"/>
      <c r="U182" s="12"/>
    </row>
    <row r="183" customFormat="false" ht="15" hidden="false" customHeight="true" outlineLevel="0" collapsed="false">
      <c r="A183" s="43"/>
      <c r="B183" s="81"/>
      <c r="C183" s="12"/>
      <c r="D183" s="42"/>
      <c r="E183" s="85"/>
      <c r="F183" s="47"/>
      <c r="G183" s="47"/>
      <c r="H183" s="47"/>
      <c r="I183" s="47"/>
      <c r="J183" s="12" t="str">
        <f aca="false">IF(N(D183)=0,"",IF(N(E183)&gt;0.5,IF(I183="Y","REMOVE NOW: target at risk","REMOVE NOW"),IF(N(E183)&gt;=0.3,"GRAY ZONE: assess structure",IF(G183="High","TREAT",IF(F183="Y","REMOVE AND REPLACE","PLANT FIRST, REMOVE LATER")))))</f>
        <v/>
      </c>
      <c r="K183" s="12" t="str">
        <f aca="false">IF(N(D183)=0,"",IF(J183="TREAT","Successor if space: ","")&amp;IF(H183="Wet","Quercus bicolor or Malus fusca",IF(H183="Riparian","Natives only: Malus fusca, Salix, Q. garryana on edges",IF(H183="Upland","Quercus garryana or Q. macrocarpa","Set site type"))))</f>
        <v/>
      </c>
      <c r="L183" s="54" t="str">
        <f aca="false">IF(N(D183)=0,"",D183*'Ash EAB'!$B$11)</f>
        <v/>
      </c>
      <c r="M183" s="54" t="str">
        <f aca="false">IF(N(D183)=0,"",L183*ROUNDUP('Ash EAB'!$B$17/'Ash EAB'!$B$12,0))</f>
        <v/>
      </c>
      <c r="N183" s="54" t="str">
        <f aca="false">IF(N(D183)=0,"",D183*'Ash EAB'!$B$13+'Ash EAB'!$B$15)</f>
        <v/>
      </c>
      <c r="O183" s="54" t="str">
        <f aca="false">IF(N(D183)=0,"",D183*'Ash EAB'!$B$13*'Ash EAB'!$B$14+'Ash EAB'!$B$15)</f>
        <v/>
      </c>
      <c r="P183" s="47" t="str">
        <f aca="false">IF(N(D183)=0,"",IF(M183&lt;N183,"Treat","Replace"))</f>
        <v/>
      </c>
      <c r="Q183" s="43"/>
      <c r="R183" s="37"/>
      <c r="S183" s="37" t="str">
        <f aca="false">IF(R183="","",EDATE(R183,ROUND('Ash EAB'!$B$12*12,0)))</f>
        <v/>
      </c>
      <c r="T183" s="47"/>
      <c r="U183" s="12"/>
    </row>
    <row r="184" customFormat="false" ht="15" hidden="false" customHeight="true" outlineLevel="0" collapsed="false">
      <c r="A184" s="43"/>
      <c r="B184" s="81"/>
      <c r="C184" s="12"/>
      <c r="D184" s="42"/>
      <c r="E184" s="85"/>
      <c r="F184" s="47"/>
      <c r="G184" s="47"/>
      <c r="H184" s="47"/>
      <c r="I184" s="47"/>
      <c r="J184" s="12" t="str">
        <f aca="false">IF(N(D184)=0,"",IF(N(E184)&gt;0.5,IF(I184="Y","REMOVE NOW: target at risk","REMOVE NOW"),IF(N(E184)&gt;=0.3,"GRAY ZONE: assess structure",IF(G184="High","TREAT",IF(F184="Y","REMOVE AND REPLACE","PLANT FIRST, REMOVE LATER")))))</f>
        <v/>
      </c>
      <c r="K184" s="12" t="str">
        <f aca="false">IF(N(D184)=0,"",IF(J184="TREAT","Successor if space: ","")&amp;IF(H184="Wet","Quercus bicolor or Malus fusca",IF(H184="Riparian","Natives only: Malus fusca, Salix, Q. garryana on edges",IF(H184="Upland","Quercus garryana or Q. macrocarpa","Set site type"))))</f>
        <v/>
      </c>
      <c r="L184" s="54" t="str">
        <f aca="false">IF(N(D184)=0,"",D184*'Ash EAB'!$B$11)</f>
        <v/>
      </c>
      <c r="M184" s="54" t="str">
        <f aca="false">IF(N(D184)=0,"",L184*ROUNDUP('Ash EAB'!$B$17/'Ash EAB'!$B$12,0))</f>
        <v/>
      </c>
      <c r="N184" s="54" t="str">
        <f aca="false">IF(N(D184)=0,"",D184*'Ash EAB'!$B$13+'Ash EAB'!$B$15)</f>
        <v/>
      </c>
      <c r="O184" s="54" t="str">
        <f aca="false">IF(N(D184)=0,"",D184*'Ash EAB'!$B$13*'Ash EAB'!$B$14+'Ash EAB'!$B$15)</f>
        <v/>
      </c>
      <c r="P184" s="47" t="str">
        <f aca="false">IF(N(D184)=0,"",IF(M184&lt;N184,"Treat","Replace"))</f>
        <v/>
      </c>
      <c r="Q184" s="43"/>
      <c r="R184" s="37"/>
      <c r="S184" s="37" t="str">
        <f aca="false">IF(R184="","",EDATE(R184,ROUND('Ash EAB'!$B$12*12,0)))</f>
        <v/>
      </c>
      <c r="T184" s="47"/>
      <c r="U184" s="12"/>
    </row>
    <row r="185" customFormat="false" ht="15" hidden="false" customHeight="true" outlineLevel="0" collapsed="false">
      <c r="A185" s="43"/>
      <c r="B185" s="81"/>
      <c r="C185" s="12"/>
      <c r="D185" s="42"/>
      <c r="E185" s="85"/>
      <c r="F185" s="47"/>
      <c r="G185" s="47"/>
      <c r="H185" s="47"/>
      <c r="I185" s="47"/>
      <c r="J185" s="12" t="str">
        <f aca="false">IF(N(D185)=0,"",IF(N(E185)&gt;0.5,IF(I185="Y","REMOVE NOW: target at risk","REMOVE NOW"),IF(N(E185)&gt;=0.3,"GRAY ZONE: assess structure",IF(G185="High","TREAT",IF(F185="Y","REMOVE AND REPLACE","PLANT FIRST, REMOVE LATER")))))</f>
        <v/>
      </c>
      <c r="K185" s="12" t="str">
        <f aca="false">IF(N(D185)=0,"",IF(J185="TREAT","Successor if space: ","")&amp;IF(H185="Wet","Quercus bicolor or Malus fusca",IF(H185="Riparian","Natives only: Malus fusca, Salix, Q. garryana on edges",IF(H185="Upland","Quercus garryana or Q. macrocarpa","Set site type"))))</f>
        <v/>
      </c>
      <c r="L185" s="54" t="str">
        <f aca="false">IF(N(D185)=0,"",D185*'Ash EAB'!$B$11)</f>
        <v/>
      </c>
      <c r="M185" s="54" t="str">
        <f aca="false">IF(N(D185)=0,"",L185*ROUNDUP('Ash EAB'!$B$17/'Ash EAB'!$B$12,0))</f>
        <v/>
      </c>
      <c r="N185" s="54" t="str">
        <f aca="false">IF(N(D185)=0,"",D185*'Ash EAB'!$B$13+'Ash EAB'!$B$15)</f>
        <v/>
      </c>
      <c r="O185" s="54" t="str">
        <f aca="false">IF(N(D185)=0,"",D185*'Ash EAB'!$B$13*'Ash EAB'!$B$14+'Ash EAB'!$B$15)</f>
        <v/>
      </c>
      <c r="P185" s="47" t="str">
        <f aca="false">IF(N(D185)=0,"",IF(M185&lt;N185,"Treat","Replace"))</f>
        <v/>
      </c>
      <c r="Q185" s="43"/>
      <c r="R185" s="37"/>
      <c r="S185" s="37" t="str">
        <f aca="false">IF(R185="","",EDATE(R185,ROUND('Ash EAB'!$B$12*12,0)))</f>
        <v/>
      </c>
      <c r="T185" s="47"/>
      <c r="U185" s="12"/>
    </row>
    <row r="186" customFormat="false" ht="15" hidden="false" customHeight="true" outlineLevel="0" collapsed="false">
      <c r="A186" s="43"/>
      <c r="B186" s="81"/>
      <c r="C186" s="12"/>
      <c r="D186" s="42"/>
      <c r="E186" s="85"/>
      <c r="F186" s="47"/>
      <c r="G186" s="47"/>
      <c r="H186" s="47"/>
      <c r="I186" s="47"/>
      <c r="J186" s="12" t="str">
        <f aca="false">IF(N(D186)=0,"",IF(N(E186)&gt;0.5,IF(I186="Y","REMOVE NOW: target at risk","REMOVE NOW"),IF(N(E186)&gt;=0.3,"GRAY ZONE: assess structure",IF(G186="High","TREAT",IF(F186="Y","REMOVE AND REPLACE","PLANT FIRST, REMOVE LATER")))))</f>
        <v/>
      </c>
      <c r="K186" s="12" t="str">
        <f aca="false">IF(N(D186)=0,"",IF(J186="TREAT","Successor if space: ","")&amp;IF(H186="Wet","Quercus bicolor or Malus fusca",IF(H186="Riparian","Natives only: Malus fusca, Salix, Q. garryana on edges",IF(H186="Upland","Quercus garryana or Q. macrocarpa","Set site type"))))</f>
        <v/>
      </c>
      <c r="L186" s="54" t="str">
        <f aca="false">IF(N(D186)=0,"",D186*'Ash EAB'!$B$11)</f>
        <v/>
      </c>
      <c r="M186" s="54" t="str">
        <f aca="false">IF(N(D186)=0,"",L186*ROUNDUP('Ash EAB'!$B$17/'Ash EAB'!$B$12,0))</f>
        <v/>
      </c>
      <c r="N186" s="54" t="str">
        <f aca="false">IF(N(D186)=0,"",D186*'Ash EAB'!$B$13+'Ash EAB'!$B$15)</f>
        <v/>
      </c>
      <c r="O186" s="54" t="str">
        <f aca="false">IF(N(D186)=0,"",D186*'Ash EAB'!$B$13*'Ash EAB'!$B$14+'Ash EAB'!$B$15)</f>
        <v/>
      </c>
      <c r="P186" s="47" t="str">
        <f aca="false">IF(N(D186)=0,"",IF(M186&lt;N186,"Treat","Replace"))</f>
        <v/>
      </c>
      <c r="Q186" s="43"/>
      <c r="R186" s="37"/>
      <c r="S186" s="37" t="str">
        <f aca="false">IF(R186="","",EDATE(R186,ROUND('Ash EAB'!$B$12*12,0)))</f>
        <v/>
      </c>
      <c r="T186" s="47"/>
      <c r="U186" s="12"/>
    </row>
    <row r="187" customFormat="false" ht="15" hidden="false" customHeight="true" outlineLevel="0" collapsed="false">
      <c r="A187" s="43"/>
      <c r="B187" s="81"/>
      <c r="C187" s="12"/>
      <c r="D187" s="42"/>
      <c r="E187" s="85"/>
      <c r="F187" s="47"/>
      <c r="G187" s="47"/>
      <c r="H187" s="47"/>
      <c r="I187" s="47"/>
      <c r="J187" s="12" t="str">
        <f aca="false">IF(N(D187)=0,"",IF(N(E187)&gt;0.5,IF(I187="Y","REMOVE NOW: target at risk","REMOVE NOW"),IF(N(E187)&gt;=0.3,"GRAY ZONE: assess structure",IF(G187="High","TREAT",IF(F187="Y","REMOVE AND REPLACE","PLANT FIRST, REMOVE LATER")))))</f>
        <v/>
      </c>
      <c r="K187" s="12" t="str">
        <f aca="false">IF(N(D187)=0,"",IF(J187="TREAT","Successor if space: ","")&amp;IF(H187="Wet","Quercus bicolor or Malus fusca",IF(H187="Riparian","Natives only: Malus fusca, Salix, Q. garryana on edges",IF(H187="Upland","Quercus garryana or Q. macrocarpa","Set site type"))))</f>
        <v/>
      </c>
      <c r="L187" s="54" t="str">
        <f aca="false">IF(N(D187)=0,"",D187*'Ash EAB'!$B$11)</f>
        <v/>
      </c>
      <c r="M187" s="54" t="str">
        <f aca="false">IF(N(D187)=0,"",L187*ROUNDUP('Ash EAB'!$B$17/'Ash EAB'!$B$12,0))</f>
        <v/>
      </c>
      <c r="N187" s="54" t="str">
        <f aca="false">IF(N(D187)=0,"",D187*'Ash EAB'!$B$13+'Ash EAB'!$B$15)</f>
        <v/>
      </c>
      <c r="O187" s="54" t="str">
        <f aca="false">IF(N(D187)=0,"",D187*'Ash EAB'!$B$13*'Ash EAB'!$B$14+'Ash EAB'!$B$15)</f>
        <v/>
      </c>
      <c r="P187" s="47" t="str">
        <f aca="false">IF(N(D187)=0,"",IF(M187&lt;N187,"Treat","Replace"))</f>
        <v/>
      </c>
      <c r="Q187" s="43"/>
      <c r="R187" s="37"/>
      <c r="S187" s="37" t="str">
        <f aca="false">IF(R187="","",EDATE(R187,ROUND('Ash EAB'!$B$12*12,0)))</f>
        <v/>
      </c>
      <c r="T187" s="47"/>
      <c r="U187" s="12"/>
    </row>
    <row r="188" customFormat="false" ht="15" hidden="false" customHeight="true" outlineLevel="0" collapsed="false">
      <c r="A188" s="43"/>
      <c r="B188" s="81"/>
      <c r="C188" s="12"/>
      <c r="D188" s="42"/>
      <c r="E188" s="85"/>
      <c r="F188" s="47"/>
      <c r="G188" s="47"/>
      <c r="H188" s="47"/>
      <c r="I188" s="47"/>
      <c r="J188" s="12" t="str">
        <f aca="false">IF(N(D188)=0,"",IF(N(E188)&gt;0.5,IF(I188="Y","REMOVE NOW: target at risk","REMOVE NOW"),IF(N(E188)&gt;=0.3,"GRAY ZONE: assess structure",IF(G188="High","TREAT",IF(F188="Y","REMOVE AND REPLACE","PLANT FIRST, REMOVE LATER")))))</f>
        <v/>
      </c>
      <c r="K188" s="12" t="str">
        <f aca="false">IF(N(D188)=0,"",IF(J188="TREAT","Successor if space: ","")&amp;IF(H188="Wet","Quercus bicolor or Malus fusca",IF(H188="Riparian","Natives only: Malus fusca, Salix, Q. garryana on edges",IF(H188="Upland","Quercus garryana or Q. macrocarpa","Set site type"))))</f>
        <v/>
      </c>
      <c r="L188" s="54" t="str">
        <f aca="false">IF(N(D188)=0,"",D188*'Ash EAB'!$B$11)</f>
        <v/>
      </c>
      <c r="M188" s="54" t="str">
        <f aca="false">IF(N(D188)=0,"",L188*ROUNDUP('Ash EAB'!$B$17/'Ash EAB'!$B$12,0))</f>
        <v/>
      </c>
      <c r="N188" s="54" t="str">
        <f aca="false">IF(N(D188)=0,"",D188*'Ash EAB'!$B$13+'Ash EAB'!$B$15)</f>
        <v/>
      </c>
      <c r="O188" s="54" t="str">
        <f aca="false">IF(N(D188)=0,"",D188*'Ash EAB'!$B$13*'Ash EAB'!$B$14+'Ash EAB'!$B$15)</f>
        <v/>
      </c>
      <c r="P188" s="47" t="str">
        <f aca="false">IF(N(D188)=0,"",IF(M188&lt;N188,"Treat","Replace"))</f>
        <v/>
      </c>
      <c r="Q188" s="43"/>
      <c r="R188" s="37"/>
      <c r="S188" s="37" t="str">
        <f aca="false">IF(R188="","",EDATE(R188,ROUND('Ash EAB'!$B$12*12,0)))</f>
        <v/>
      </c>
      <c r="T188" s="47"/>
      <c r="U188" s="12"/>
    </row>
    <row r="189" customFormat="false" ht="15" hidden="false" customHeight="true" outlineLevel="0" collapsed="false">
      <c r="A189" s="43"/>
      <c r="B189" s="81"/>
      <c r="C189" s="12"/>
      <c r="D189" s="42"/>
      <c r="E189" s="85"/>
      <c r="F189" s="47"/>
      <c r="G189" s="47"/>
      <c r="H189" s="47"/>
      <c r="I189" s="47"/>
      <c r="J189" s="12" t="str">
        <f aca="false">IF(N(D189)=0,"",IF(N(E189)&gt;0.5,IF(I189="Y","REMOVE NOW: target at risk","REMOVE NOW"),IF(N(E189)&gt;=0.3,"GRAY ZONE: assess structure",IF(G189="High","TREAT",IF(F189="Y","REMOVE AND REPLACE","PLANT FIRST, REMOVE LATER")))))</f>
        <v/>
      </c>
      <c r="K189" s="12" t="str">
        <f aca="false">IF(N(D189)=0,"",IF(J189="TREAT","Successor if space: ","")&amp;IF(H189="Wet","Quercus bicolor or Malus fusca",IF(H189="Riparian","Natives only: Malus fusca, Salix, Q. garryana on edges",IF(H189="Upland","Quercus garryana or Q. macrocarpa","Set site type"))))</f>
        <v/>
      </c>
      <c r="L189" s="54" t="str">
        <f aca="false">IF(N(D189)=0,"",D189*'Ash EAB'!$B$11)</f>
        <v/>
      </c>
      <c r="M189" s="54" t="str">
        <f aca="false">IF(N(D189)=0,"",L189*ROUNDUP('Ash EAB'!$B$17/'Ash EAB'!$B$12,0))</f>
        <v/>
      </c>
      <c r="N189" s="54" t="str">
        <f aca="false">IF(N(D189)=0,"",D189*'Ash EAB'!$B$13+'Ash EAB'!$B$15)</f>
        <v/>
      </c>
      <c r="O189" s="54" t="str">
        <f aca="false">IF(N(D189)=0,"",D189*'Ash EAB'!$B$13*'Ash EAB'!$B$14+'Ash EAB'!$B$15)</f>
        <v/>
      </c>
      <c r="P189" s="47" t="str">
        <f aca="false">IF(N(D189)=0,"",IF(M189&lt;N189,"Treat","Replace"))</f>
        <v/>
      </c>
      <c r="Q189" s="43"/>
      <c r="R189" s="37"/>
      <c r="S189" s="37" t="str">
        <f aca="false">IF(R189="","",EDATE(R189,ROUND('Ash EAB'!$B$12*12,0)))</f>
        <v/>
      </c>
      <c r="T189" s="47"/>
      <c r="U189" s="12"/>
    </row>
    <row r="190" customFormat="false" ht="15" hidden="false" customHeight="true" outlineLevel="0" collapsed="false">
      <c r="A190" s="43"/>
      <c r="B190" s="81"/>
      <c r="C190" s="12"/>
      <c r="D190" s="42"/>
      <c r="E190" s="85"/>
      <c r="F190" s="47"/>
      <c r="G190" s="47"/>
      <c r="H190" s="47"/>
      <c r="I190" s="47"/>
      <c r="J190" s="12" t="str">
        <f aca="false">IF(N(D190)=0,"",IF(N(E190)&gt;0.5,IF(I190="Y","REMOVE NOW: target at risk","REMOVE NOW"),IF(N(E190)&gt;=0.3,"GRAY ZONE: assess structure",IF(G190="High","TREAT",IF(F190="Y","REMOVE AND REPLACE","PLANT FIRST, REMOVE LATER")))))</f>
        <v/>
      </c>
      <c r="K190" s="12" t="str">
        <f aca="false">IF(N(D190)=0,"",IF(J190="TREAT","Successor if space: ","")&amp;IF(H190="Wet","Quercus bicolor or Malus fusca",IF(H190="Riparian","Natives only: Malus fusca, Salix, Q. garryana on edges",IF(H190="Upland","Quercus garryana or Q. macrocarpa","Set site type"))))</f>
        <v/>
      </c>
      <c r="L190" s="54" t="str">
        <f aca="false">IF(N(D190)=0,"",D190*'Ash EAB'!$B$11)</f>
        <v/>
      </c>
      <c r="M190" s="54" t="str">
        <f aca="false">IF(N(D190)=0,"",L190*ROUNDUP('Ash EAB'!$B$17/'Ash EAB'!$B$12,0))</f>
        <v/>
      </c>
      <c r="N190" s="54" t="str">
        <f aca="false">IF(N(D190)=0,"",D190*'Ash EAB'!$B$13+'Ash EAB'!$B$15)</f>
        <v/>
      </c>
      <c r="O190" s="54" t="str">
        <f aca="false">IF(N(D190)=0,"",D190*'Ash EAB'!$B$13*'Ash EAB'!$B$14+'Ash EAB'!$B$15)</f>
        <v/>
      </c>
      <c r="P190" s="47" t="str">
        <f aca="false">IF(N(D190)=0,"",IF(M190&lt;N190,"Treat","Replace"))</f>
        <v/>
      </c>
      <c r="Q190" s="43"/>
      <c r="R190" s="37"/>
      <c r="S190" s="37" t="str">
        <f aca="false">IF(R190="","",EDATE(R190,ROUND('Ash EAB'!$B$12*12,0)))</f>
        <v/>
      </c>
      <c r="T190" s="47"/>
      <c r="U190" s="12"/>
    </row>
    <row r="191" customFormat="false" ht="15" hidden="false" customHeight="true" outlineLevel="0" collapsed="false">
      <c r="A191" s="43"/>
      <c r="B191" s="81"/>
      <c r="C191" s="12"/>
      <c r="D191" s="42"/>
      <c r="E191" s="85"/>
      <c r="F191" s="47"/>
      <c r="G191" s="47"/>
      <c r="H191" s="47"/>
      <c r="I191" s="47"/>
      <c r="J191" s="12" t="str">
        <f aca="false">IF(N(D191)=0,"",IF(N(E191)&gt;0.5,IF(I191="Y","REMOVE NOW: target at risk","REMOVE NOW"),IF(N(E191)&gt;=0.3,"GRAY ZONE: assess structure",IF(G191="High","TREAT",IF(F191="Y","REMOVE AND REPLACE","PLANT FIRST, REMOVE LATER")))))</f>
        <v/>
      </c>
      <c r="K191" s="12" t="str">
        <f aca="false">IF(N(D191)=0,"",IF(J191="TREAT","Successor if space: ","")&amp;IF(H191="Wet","Quercus bicolor or Malus fusca",IF(H191="Riparian","Natives only: Malus fusca, Salix, Q. garryana on edges",IF(H191="Upland","Quercus garryana or Q. macrocarpa","Set site type"))))</f>
        <v/>
      </c>
      <c r="L191" s="54" t="str">
        <f aca="false">IF(N(D191)=0,"",D191*'Ash EAB'!$B$11)</f>
        <v/>
      </c>
      <c r="M191" s="54" t="str">
        <f aca="false">IF(N(D191)=0,"",L191*ROUNDUP('Ash EAB'!$B$17/'Ash EAB'!$B$12,0))</f>
        <v/>
      </c>
      <c r="N191" s="54" t="str">
        <f aca="false">IF(N(D191)=0,"",D191*'Ash EAB'!$B$13+'Ash EAB'!$B$15)</f>
        <v/>
      </c>
      <c r="O191" s="54" t="str">
        <f aca="false">IF(N(D191)=0,"",D191*'Ash EAB'!$B$13*'Ash EAB'!$B$14+'Ash EAB'!$B$15)</f>
        <v/>
      </c>
      <c r="P191" s="47" t="str">
        <f aca="false">IF(N(D191)=0,"",IF(M191&lt;N191,"Treat","Replace"))</f>
        <v/>
      </c>
      <c r="Q191" s="43"/>
      <c r="R191" s="37"/>
      <c r="S191" s="37" t="str">
        <f aca="false">IF(R191="","",EDATE(R191,ROUND('Ash EAB'!$B$12*12,0)))</f>
        <v/>
      </c>
      <c r="T191" s="47"/>
      <c r="U191" s="12"/>
    </row>
    <row r="192" customFormat="false" ht="15" hidden="false" customHeight="true" outlineLevel="0" collapsed="false">
      <c r="A192" s="43"/>
      <c r="B192" s="81"/>
      <c r="C192" s="12"/>
      <c r="D192" s="42"/>
      <c r="E192" s="85"/>
      <c r="F192" s="47"/>
      <c r="G192" s="47"/>
      <c r="H192" s="47"/>
      <c r="I192" s="47"/>
      <c r="J192" s="12" t="str">
        <f aca="false">IF(N(D192)=0,"",IF(N(E192)&gt;0.5,IF(I192="Y","REMOVE NOW: target at risk","REMOVE NOW"),IF(N(E192)&gt;=0.3,"GRAY ZONE: assess structure",IF(G192="High","TREAT",IF(F192="Y","REMOVE AND REPLACE","PLANT FIRST, REMOVE LATER")))))</f>
        <v/>
      </c>
      <c r="K192" s="12" t="str">
        <f aca="false">IF(N(D192)=0,"",IF(J192="TREAT","Successor if space: ","")&amp;IF(H192="Wet","Quercus bicolor or Malus fusca",IF(H192="Riparian","Natives only: Malus fusca, Salix, Q. garryana on edges",IF(H192="Upland","Quercus garryana or Q. macrocarpa","Set site type"))))</f>
        <v/>
      </c>
      <c r="L192" s="54" t="str">
        <f aca="false">IF(N(D192)=0,"",D192*'Ash EAB'!$B$11)</f>
        <v/>
      </c>
      <c r="M192" s="54" t="str">
        <f aca="false">IF(N(D192)=0,"",L192*ROUNDUP('Ash EAB'!$B$17/'Ash EAB'!$B$12,0))</f>
        <v/>
      </c>
      <c r="N192" s="54" t="str">
        <f aca="false">IF(N(D192)=0,"",D192*'Ash EAB'!$B$13+'Ash EAB'!$B$15)</f>
        <v/>
      </c>
      <c r="O192" s="54" t="str">
        <f aca="false">IF(N(D192)=0,"",D192*'Ash EAB'!$B$13*'Ash EAB'!$B$14+'Ash EAB'!$B$15)</f>
        <v/>
      </c>
      <c r="P192" s="47" t="str">
        <f aca="false">IF(N(D192)=0,"",IF(M192&lt;N192,"Treat","Replace"))</f>
        <v/>
      </c>
      <c r="Q192" s="43"/>
      <c r="R192" s="37"/>
      <c r="S192" s="37" t="str">
        <f aca="false">IF(R192="","",EDATE(R192,ROUND('Ash EAB'!$B$12*12,0)))</f>
        <v/>
      </c>
      <c r="T192" s="47"/>
      <c r="U192" s="12"/>
    </row>
    <row r="193" customFormat="false" ht="15" hidden="false" customHeight="true" outlineLevel="0" collapsed="false">
      <c r="A193" s="43"/>
      <c r="B193" s="81"/>
      <c r="C193" s="12"/>
      <c r="D193" s="42"/>
      <c r="E193" s="85"/>
      <c r="F193" s="47"/>
      <c r="G193" s="47"/>
      <c r="H193" s="47"/>
      <c r="I193" s="47"/>
      <c r="J193" s="12" t="str">
        <f aca="false">IF(N(D193)=0,"",IF(N(E193)&gt;0.5,IF(I193="Y","REMOVE NOW: target at risk","REMOVE NOW"),IF(N(E193)&gt;=0.3,"GRAY ZONE: assess structure",IF(G193="High","TREAT",IF(F193="Y","REMOVE AND REPLACE","PLANT FIRST, REMOVE LATER")))))</f>
        <v/>
      </c>
      <c r="K193" s="12" t="str">
        <f aca="false">IF(N(D193)=0,"",IF(J193="TREAT","Successor if space: ","")&amp;IF(H193="Wet","Quercus bicolor or Malus fusca",IF(H193="Riparian","Natives only: Malus fusca, Salix, Q. garryana on edges",IF(H193="Upland","Quercus garryana or Q. macrocarpa","Set site type"))))</f>
        <v/>
      </c>
      <c r="L193" s="54" t="str">
        <f aca="false">IF(N(D193)=0,"",D193*'Ash EAB'!$B$11)</f>
        <v/>
      </c>
      <c r="M193" s="54" t="str">
        <f aca="false">IF(N(D193)=0,"",L193*ROUNDUP('Ash EAB'!$B$17/'Ash EAB'!$B$12,0))</f>
        <v/>
      </c>
      <c r="N193" s="54" t="str">
        <f aca="false">IF(N(D193)=0,"",D193*'Ash EAB'!$B$13+'Ash EAB'!$B$15)</f>
        <v/>
      </c>
      <c r="O193" s="54" t="str">
        <f aca="false">IF(N(D193)=0,"",D193*'Ash EAB'!$B$13*'Ash EAB'!$B$14+'Ash EAB'!$B$15)</f>
        <v/>
      </c>
      <c r="P193" s="47" t="str">
        <f aca="false">IF(N(D193)=0,"",IF(M193&lt;N193,"Treat","Replace"))</f>
        <v/>
      </c>
      <c r="Q193" s="43"/>
      <c r="R193" s="37"/>
      <c r="S193" s="37" t="str">
        <f aca="false">IF(R193="","",EDATE(R193,ROUND('Ash EAB'!$B$12*12,0)))</f>
        <v/>
      </c>
      <c r="T193" s="47"/>
      <c r="U193" s="12"/>
    </row>
    <row r="194" customFormat="false" ht="15" hidden="false" customHeight="true" outlineLevel="0" collapsed="false">
      <c r="A194" s="43"/>
      <c r="B194" s="81"/>
      <c r="C194" s="12"/>
      <c r="D194" s="42"/>
      <c r="E194" s="85"/>
      <c r="F194" s="47"/>
      <c r="G194" s="47"/>
      <c r="H194" s="47"/>
      <c r="I194" s="47"/>
      <c r="J194" s="12" t="str">
        <f aca="false">IF(N(D194)=0,"",IF(N(E194)&gt;0.5,IF(I194="Y","REMOVE NOW: target at risk","REMOVE NOW"),IF(N(E194)&gt;=0.3,"GRAY ZONE: assess structure",IF(G194="High","TREAT",IF(F194="Y","REMOVE AND REPLACE","PLANT FIRST, REMOVE LATER")))))</f>
        <v/>
      </c>
      <c r="K194" s="12" t="str">
        <f aca="false">IF(N(D194)=0,"",IF(J194="TREAT","Successor if space: ","")&amp;IF(H194="Wet","Quercus bicolor or Malus fusca",IF(H194="Riparian","Natives only: Malus fusca, Salix, Q. garryana on edges",IF(H194="Upland","Quercus garryana or Q. macrocarpa","Set site type"))))</f>
        <v/>
      </c>
      <c r="L194" s="54" t="str">
        <f aca="false">IF(N(D194)=0,"",D194*'Ash EAB'!$B$11)</f>
        <v/>
      </c>
      <c r="M194" s="54" t="str">
        <f aca="false">IF(N(D194)=0,"",L194*ROUNDUP('Ash EAB'!$B$17/'Ash EAB'!$B$12,0))</f>
        <v/>
      </c>
      <c r="N194" s="54" t="str">
        <f aca="false">IF(N(D194)=0,"",D194*'Ash EAB'!$B$13+'Ash EAB'!$B$15)</f>
        <v/>
      </c>
      <c r="O194" s="54" t="str">
        <f aca="false">IF(N(D194)=0,"",D194*'Ash EAB'!$B$13*'Ash EAB'!$B$14+'Ash EAB'!$B$15)</f>
        <v/>
      </c>
      <c r="P194" s="47" t="str">
        <f aca="false">IF(N(D194)=0,"",IF(M194&lt;N194,"Treat","Replace"))</f>
        <v/>
      </c>
      <c r="Q194" s="43"/>
      <c r="R194" s="37"/>
      <c r="S194" s="37" t="str">
        <f aca="false">IF(R194="","",EDATE(R194,ROUND('Ash EAB'!$B$12*12,0)))</f>
        <v/>
      </c>
      <c r="T194" s="47"/>
      <c r="U194" s="12"/>
    </row>
    <row r="195" customFormat="false" ht="15" hidden="false" customHeight="true" outlineLevel="0" collapsed="false">
      <c r="A195" s="43"/>
      <c r="B195" s="81"/>
      <c r="C195" s="12"/>
      <c r="D195" s="42"/>
      <c r="E195" s="85"/>
      <c r="F195" s="47"/>
      <c r="G195" s="47"/>
      <c r="H195" s="47"/>
      <c r="I195" s="47"/>
      <c r="J195" s="12" t="str">
        <f aca="false">IF(N(D195)=0,"",IF(N(E195)&gt;0.5,IF(I195="Y","REMOVE NOW: target at risk","REMOVE NOW"),IF(N(E195)&gt;=0.3,"GRAY ZONE: assess structure",IF(G195="High","TREAT",IF(F195="Y","REMOVE AND REPLACE","PLANT FIRST, REMOVE LATER")))))</f>
        <v/>
      </c>
      <c r="K195" s="12" t="str">
        <f aca="false">IF(N(D195)=0,"",IF(J195="TREAT","Successor if space: ","")&amp;IF(H195="Wet","Quercus bicolor or Malus fusca",IF(H195="Riparian","Natives only: Malus fusca, Salix, Q. garryana on edges",IF(H195="Upland","Quercus garryana or Q. macrocarpa","Set site type"))))</f>
        <v/>
      </c>
      <c r="L195" s="54" t="str">
        <f aca="false">IF(N(D195)=0,"",D195*'Ash EAB'!$B$11)</f>
        <v/>
      </c>
      <c r="M195" s="54" t="str">
        <f aca="false">IF(N(D195)=0,"",L195*ROUNDUP('Ash EAB'!$B$17/'Ash EAB'!$B$12,0))</f>
        <v/>
      </c>
      <c r="N195" s="54" t="str">
        <f aca="false">IF(N(D195)=0,"",D195*'Ash EAB'!$B$13+'Ash EAB'!$B$15)</f>
        <v/>
      </c>
      <c r="O195" s="54" t="str">
        <f aca="false">IF(N(D195)=0,"",D195*'Ash EAB'!$B$13*'Ash EAB'!$B$14+'Ash EAB'!$B$15)</f>
        <v/>
      </c>
      <c r="P195" s="47" t="str">
        <f aca="false">IF(N(D195)=0,"",IF(M195&lt;N195,"Treat","Replace"))</f>
        <v/>
      </c>
      <c r="Q195" s="43"/>
      <c r="R195" s="37"/>
      <c r="S195" s="37" t="str">
        <f aca="false">IF(R195="","",EDATE(R195,ROUND('Ash EAB'!$B$12*12,0)))</f>
        <v/>
      </c>
      <c r="T195" s="47"/>
      <c r="U195" s="12"/>
    </row>
    <row r="196" customFormat="false" ht="15" hidden="false" customHeight="true" outlineLevel="0" collapsed="false">
      <c r="A196" s="43"/>
      <c r="B196" s="81"/>
      <c r="C196" s="12"/>
      <c r="D196" s="42"/>
      <c r="E196" s="85"/>
      <c r="F196" s="47"/>
      <c r="G196" s="47"/>
      <c r="H196" s="47"/>
      <c r="I196" s="47"/>
      <c r="J196" s="12" t="str">
        <f aca="false">IF(N(D196)=0,"",IF(N(E196)&gt;0.5,IF(I196="Y","REMOVE NOW: target at risk","REMOVE NOW"),IF(N(E196)&gt;=0.3,"GRAY ZONE: assess structure",IF(G196="High","TREAT",IF(F196="Y","REMOVE AND REPLACE","PLANT FIRST, REMOVE LATER")))))</f>
        <v/>
      </c>
      <c r="K196" s="12" t="str">
        <f aca="false">IF(N(D196)=0,"",IF(J196="TREAT","Successor if space: ","")&amp;IF(H196="Wet","Quercus bicolor or Malus fusca",IF(H196="Riparian","Natives only: Malus fusca, Salix, Q. garryana on edges",IF(H196="Upland","Quercus garryana or Q. macrocarpa","Set site type"))))</f>
        <v/>
      </c>
      <c r="L196" s="54" t="str">
        <f aca="false">IF(N(D196)=0,"",D196*'Ash EAB'!$B$11)</f>
        <v/>
      </c>
      <c r="M196" s="54" t="str">
        <f aca="false">IF(N(D196)=0,"",L196*ROUNDUP('Ash EAB'!$B$17/'Ash EAB'!$B$12,0))</f>
        <v/>
      </c>
      <c r="N196" s="54" t="str">
        <f aca="false">IF(N(D196)=0,"",D196*'Ash EAB'!$B$13+'Ash EAB'!$B$15)</f>
        <v/>
      </c>
      <c r="O196" s="54" t="str">
        <f aca="false">IF(N(D196)=0,"",D196*'Ash EAB'!$B$13*'Ash EAB'!$B$14+'Ash EAB'!$B$15)</f>
        <v/>
      </c>
      <c r="P196" s="47" t="str">
        <f aca="false">IF(N(D196)=0,"",IF(M196&lt;N196,"Treat","Replace"))</f>
        <v/>
      </c>
      <c r="Q196" s="43"/>
      <c r="R196" s="37"/>
      <c r="S196" s="37" t="str">
        <f aca="false">IF(R196="","",EDATE(R196,ROUND('Ash EAB'!$B$12*12,0)))</f>
        <v/>
      </c>
      <c r="T196" s="47"/>
      <c r="U196" s="12"/>
    </row>
    <row r="197" customFormat="false" ht="15" hidden="false" customHeight="true" outlineLevel="0" collapsed="false">
      <c r="A197" s="43"/>
      <c r="B197" s="81"/>
      <c r="C197" s="12"/>
      <c r="D197" s="42"/>
      <c r="E197" s="85"/>
      <c r="F197" s="47"/>
      <c r="G197" s="47"/>
      <c r="H197" s="47"/>
      <c r="I197" s="47"/>
      <c r="J197" s="12" t="str">
        <f aca="false">IF(N(D197)=0,"",IF(N(E197)&gt;0.5,IF(I197="Y","REMOVE NOW: target at risk","REMOVE NOW"),IF(N(E197)&gt;=0.3,"GRAY ZONE: assess structure",IF(G197="High","TREAT",IF(F197="Y","REMOVE AND REPLACE","PLANT FIRST, REMOVE LATER")))))</f>
        <v/>
      </c>
      <c r="K197" s="12" t="str">
        <f aca="false">IF(N(D197)=0,"",IF(J197="TREAT","Successor if space: ","")&amp;IF(H197="Wet","Quercus bicolor or Malus fusca",IF(H197="Riparian","Natives only: Malus fusca, Salix, Q. garryana on edges",IF(H197="Upland","Quercus garryana or Q. macrocarpa","Set site type"))))</f>
        <v/>
      </c>
      <c r="L197" s="54" t="str">
        <f aca="false">IF(N(D197)=0,"",D197*'Ash EAB'!$B$11)</f>
        <v/>
      </c>
      <c r="M197" s="54" t="str">
        <f aca="false">IF(N(D197)=0,"",L197*ROUNDUP('Ash EAB'!$B$17/'Ash EAB'!$B$12,0))</f>
        <v/>
      </c>
      <c r="N197" s="54" t="str">
        <f aca="false">IF(N(D197)=0,"",D197*'Ash EAB'!$B$13+'Ash EAB'!$B$15)</f>
        <v/>
      </c>
      <c r="O197" s="54" t="str">
        <f aca="false">IF(N(D197)=0,"",D197*'Ash EAB'!$B$13*'Ash EAB'!$B$14+'Ash EAB'!$B$15)</f>
        <v/>
      </c>
      <c r="P197" s="47" t="str">
        <f aca="false">IF(N(D197)=0,"",IF(M197&lt;N197,"Treat","Replace"))</f>
        <v/>
      </c>
      <c r="Q197" s="43"/>
      <c r="R197" s="37"/>
      <c r="S197" s="37" t="str">
        <f aca="false">IF(R197="","",EDATE(R197,ROUND('Ash EAB'!$B$12*12,0)))</f>
        <v/>
      </c>
      <c r="T197" s="47"/>
      <c r="U197" s="12"/>
    </row>
    <row r="198" customFormat="false" ht="15" hidden="false" customHeight="true" outlineLevel="0" collapsed="false">
      <c r="A198" s="43"/>
      <c r="B198" s="81"/>
      <c r="C198" s="12"/>
      <c r="D198" s="42"/>
      <c r="E198" s="85"/>
      <c r="F198" s="47"/>
      <c r="G198" s="47"/>
      <c r="H198" s="47"/>
      <c r="I198" s="47"/>
      <c r="J198" s="12" t="str">
        <f aca="false">IF(N(D198)=0,"",IF(N(E198)&gt;0.5,IF(I198="Y","REMOVE NOW: target at risk","REMOVE NOW"),IF(N(E198)&gt;=0.3,"GRAY ZONE: assess structure",IF(G198="High","TREAT",IF(F198="Y","REMOVE AND REPLACE","PLANT FIRST, REMOVE LATER")))))</f>
        <v/>
      </c>
      <c r="K198" s="12" t="str">
        <f aca="false">IF(N(D198)=0,"",IF(J198="TREAT","Successor if space: ","")&amp;IF(H198="Wet","Quercus bicolor or Malus fusca",IF(H198="Riparian","Natives only: Malus fusca, Salix, Q. garryana on edges",IF(H198="Upland","Quercus garryana or Q. macrocarpa","Set site type"))))</f>
        <v/>
      </c>
      <c r="L198" s="54" t="str">
        <f aca="false">IF(N(D198)=0,"",D198*'Ash EAB'!$B$11)</f>
        <v/>
      </c>
      <c r="M198" s="54" t="str">
        <f aca="false">IF(N(D198)=0,"",L198*ROUNDUP('Ash EAB'!$B$17/'Ash EAB'!$B$12,0))</f>
        <v/>
      </c>
      <c r="N198" s="54" t="str">
        <f aca="false">IF(N(D198)=0,"",D198*'Ash EAB'!$B$13+'Ash EAB'!$B$15)</f>
        <v/>
      </c>
      <c r="O198" s="54" t="str">
        <f aca="false">IF(N(D198)=0,"",D198*'Ash EAB'!$B$13*'Ash EAB'!$B$14+'Ash EAB'!$B$15)</f>
        <v/>
      </c>
      <c r="P198" s="47" t="str">
        <f aca="false">IF(N(D198)=0,"",IF(M198&lt;N198,"Treat","Replace"))</f>
        <v/>
      </c>
      <c r="Q198" s="43"/>
      <c r="R198" s="37"/>
      <c r="S198" s="37" t="str">
        <f aca="false">IF(R198="","",EDATE(R198,ROUND('Ash EAB'!$B$12*12,0)))</f>
        <v/>
      </c>
      <c r="T198" s="47"/>
      <c r="U198" s="12"/>
    </row>
    <row r="199" customFormat="false" ht="15" hidden="false" customHeight="true" outlineLevel="0" collapsed="false">
      <c r="A199" s="43"/>
      <c r="B199" s="81"/>
      <c r="C199" s="12"/>
      <c r="D199" s="42"/>
      <c r="E199" s="85"/>
      <c r="F199" s="47"/>
      <c r="G199" s="47"/>
      <c r="H199" s="47"/>
      <c r="I199" s="47"/>
      <c r="J199" s="12" t="str">
        <f aca="false">IF(N(D199)=0,"",IF(N(E199)&gt;0.5,IF(I199="Y","REMOVE NOW: target at risk","REMOVE NOW"),IF(N(E199)&gt;=0.3,"GRAY ZONE: assess structure",IF(G199="High","TREAT",IF(F199="Y","REMOVE AND REPLACE","PLANT FIRST, REMOVE LATER")))))</f>
        <v/>
      </c>
      <c r="K199" s="12" t="str">
        <f aca="false">IF(N(D199)=0,"",IF(J199="TREAT","Successor if space: ","")&amp;IF(H199="Wet","Quercus bicolor or Malus fusca",IF(H199="Riparian","Natives only: Malus fusca, Salix, Q. garryana on edges",IF(H199="Upland","Quercus garryana or Q. macrocarpa","Set site type"))))</f>
        <v/>
      </c>
      <c r="L199" s="54" t="str">
        <f aca="false">IF(N(D199)=0,"",D199*'Ash EAB'!$B$11)</f>
        <v/>
      </c>
      <c r="M199" s="54" t="str">
        <f aca="false">IF(N(D199)=0,"",L199*ROUNDUP('Ash EAB'!$B$17/'Ash EAB'!$B$12,0))</f>
        <v/>
      </c>
      <c r="N199" s="54" t="str">
        <f aca="false">IF(N(D199)=0,"",D199*'Ash EAB'!$B$13+'Ash EAB'!$B$15)</f>
        <v/>
      </c>
      <c r="O199" s="54" t="str">
        <f aca="false">IF(N(D199)=0,"",D199*'Ash EAB'!$B$13*'Ash EAB'!$B$14+'Ash EAB'!$B$15)</f>
        <v/>
      </c>
      <c r="P199" s="47" t="str">
        <f aca="false">IF(N(D199)=0,"",IF(M199&lt;N199,"Treat","Replace"))</f>
        <v/>
      </c>
      <c r="Q199" s="43"/>
      <c r="R199" s="37"/>
      <c r="S199" s="37" t="str">
        <f aca="false">IF(R199="","",EDATE(R199,ROUND('Ash EAB'!$B$12*12,0)))</f>
        <v/>
      </c>
      <c r="T199" s="47"/>
      <c r="U199" s="12"/>
    </row>
    <row r="200" customFormat="false" ht="15" hidden="false" customHeight="true" outlineLevel="0" collapsed="false">
      <c r="A200" s="43"/>
      <c r="B200" s="81"/>
      <c r="C200" s="12"/>
      <c r="D200" s="42"/>
      <c r="E200" s="85"/>
      <c r="F200" s="47"/>
      <c r="G200" s="47"/>
      <c r="H200" s="47"/>
      <c r="I200" s="47"/>
      <c r="J200" s="12" t="str">
        <f aca="false">IF(N(D200)=0,"",IF(N(E200)&gt;0.5,IF(I200="Y","REMOVE NOW: target at risk","REMOVE NOW"),IF(N(E200)&gt;=0.3,"GRAY ZONE: assess structure",IF(G200="High","TREAT",IF(F200="Y","REMOVE AND REPLACE","PLANT FIRST, REMOVE LATER")))))</f>
        <v/>
      </c>
      <c r="K200" s="12" t="str">
        <f aca="false">IF(N(D200)=0,"",IF(J200="TREAT","Successor if space: ","")&amp;IF(H200="Wet","Quercus bicolor or Malus fusca",IF(H200="Riparian","Natives only: Malus fusca, Salix, Q. garryana on edges",IF(H200="Upland","Quercus garryana or Q. macrocarpa","Set site type"))))</f>
        <v/>
      </c>
      <c r="L200" s="54" t="str">
        <f aca="false">IF(N(D200)=0,"",D200*'Ash EAB'!$B$11)</f>
        <v/>
      </c>
      <c r="M200" s="54" t="str">
        <f aca="false">IF(N(D200)=0,"",L200*ROUNDUP('Ash EAB'!$B$17/'Ash EAB'!$B$12,0))</f>
        <v/>
      </c>
      <c r="N200" s="54" t="str">
        <f aca="false">IF(N(D200)=0,"",D200*'Ash EAB'!$B$13+'Ash EAB'!$B$15)</f>
        <v/>
      </c>
      <c r="O200" s="54" t="str">
        <f aca="false">IF(N(D200)=0,"",D200*'Ash EAB'!$B$13*'Ash EAB'!$B$14+'Ash EAB'!$B$15)</f>
        <v/>
      </c>
      <c r="P200" s="47" t="str">
        <f aca="false">IF(N(D200)=0,"",IF(M200&lt;N200,"Treat","Replace"))</f>
        <v/>
      </c>
      <c r="Q200" s="43"/>
      <c r="R200" s="37"/>
      <c r="S200" s="37" t="str">
        <f aca="false">IF(R200="","",EDATE(R200,ROUND('Ash EAB'!$B$12*12,0)))</f>
        <v/>
      </c>
      <c r="T200" s="47"/>
      <c r="U200" s="12"/>
    </row>
    <row r="201" customFormat="false" ht="15" hidden="false" customHeight="true" outlineLevel="0" collapsed="false">
      <c r="A201" s="43"/>
      <c r="B201" s="81"/>
      <c r="C201" s="12"/>
      <c r="D201" s="42"/>
      <c r="E201" s="85"/>
      <c r="F201" s="47"/>
      <c r="G201" s="47"/>
      <c r="H201" s="47"/>
      <c r="I201" s="47"/>
      <c r="J201" s="12" t="str">
        <f aca="false">IF(N(D201)=0,"",IF(N(E201)&gt;0.5,IF(I201="Y","REMOVE NOW: target at risk","REMOVE NOW"),IF(N(E201)&gt;=0.3,"GRAY ZONE: assess structure",IF(G201="High","TREAT",IF(F201="Y","REMOVE AND REPLACE","PLANT FIRST, REMOVE LATER")))))</f>
        <v/>
      </c>
      <c r="K201" s="12" t="str">
        <f aca="false">IF(N(D201)=0,"",IF(J201="TREAT","Successor if space: ","")&amp;IF(H201="Wet","Quercus bicolor or Malus fusca",IF(H201="Riparian","Natives only: Malus fusca, Salix, Q. garryana on edges",IF(H201="Upland","Quercus garryana or Q. macrocarpa","Set site type"))))</f>
        <v/>
      </c>
      <c r="L201" s="54" t="str">
        <f aca="false">IF(N(D201)=0,"",D201*'Ash EAB'!$B$11)</f>
        <v/>
      </c>
      <c r="M201" s="54" t="str">
        <f aca="false">IF(N(D201)=0,"",L201*ROUNDUP('Ash EAB'!$B$17/'Ash EAB'!$B$12,0))</f>
        <v/>
      </c>
      <c r="N201" s="54" t="str">
        <f aca="false">IF(N(D201)=0,"",D201*'Ash EAB'!$B$13+'Ash EAB'!$B$15)</f>
        <v/>
      </c>
      <c r="O201" s="54" t="str">
        <f aca="false">IF(N(D201)=0,"",D201*'Ash EAB'!$B$13*'Ash EAB'!$B$14+'Ash EAB'!$B$15)</f>
        <v/>
      </c>
      <c r="P201" s="47" t="str">
        <f aca="false">IF(N(D201)=0,"",IF(M201&lt;N201,"Treat","Replace"))</f>
        <v/>
      </c>
      <c r="Q201" s="43"/>
      <c r="R201" s="37"/>
      <c r="S201" s="37" t="str">
        <f aca="false">IF(R201="","",EDATE(R201,ROUND('Ash EAB'!$B$12*12,0)))</f>
        <v/>
      </c>
      <c r="T201" s="47"/>
      <c r="U201" s="12"/>
    </row>
    <row r="202" customFormat="false" ht="15" hidden="false" customHeight="true" outlineLevel="0" collapsed="false">
      <c r="A202" s="43"/>
      <c r="B202" s="81"/>
      <c r="C202" s="12"/>
      <c r="D202" s="42"/>
      <c r="E202" s="85"/>
      <c r="F202" s="47"/>
      <c r="G202" s="47"/>
      <c r="H202" s="47"/>
      <c r="I202" s="47"/>
      <c r="J202" s="12" t="str">
        <f aca="false">IF(N(D202)=0,"",IF(N(E202)&gt;0.5,IF(I202="Y","REMOVE NOW: target at risk","REMOVE NOW"),IF(N(E202)&gt;=0.3,"GRAY ZONE: assess structure",IF(G202="High","TREAT",IF(F202="Y","REMOVE AND REPLACE","PLANT FIRST, REMOVE LATER")))))</f>
        <v/>
      </c>
      <c r="K202" s="12" t="str">
        <f aca="false">IF(N(D202)=0,"",IF(J202="TREAT","Successor if space: ","")&amp;IF(H202="Wet","Quercus bicolor or Malus fusca",IF(H202="Riparian","Natives only: Malus fusca, Salix, Q. garryana on edges",IF(H202="Upland","Quercus garryana or Q. macrocarpa","Set site type"))))</f>
        <v/>
      </c>
      <c r="L202" s="54" t="str">
        <f aca="false">IF(N(D202)=0,"",D202*'Ash EAB'!$B$11)</f>
        <v/>
      </c>
      <c r="M202" s="54" t="str">
        <f aca="false">IF(N(D202)=0,"",L202*ROUNDUP('Ash EAB'!$B$17/'Ash EAB'!$B$12,0))</f>
        <v/>
      </c>
      <c r="N202" s="54" t="str">
        <f aca="false">IF(N(D202)=0,"",D202*'Ash EAB'!$B$13+'Ash EAB'!$B$15)</f>
        <v/>
      </c>
      <c r="O202" s="54" t="str">
        <f aca="false">IF(N(D202)=0,"",D202*'Ash EAB'!$B$13*'Ash EAB'!$B$14+'Ash EAB'!$B$15)</f>
        <v/>
      </c>
      <c r="P202" s="47" t="str">
        <f aca="false">IF(N(D202)=0,"",IF(M202&lt;N202,"Treat","Replace"))</f>
        <v/>
      </c>
      <c r="Q202" s="43"/>
      <c r="R202" s="37"/>
      <c r="S202" s="37" t="str">
        <f aca="false">IF(R202="","",EDATE(R202,ROUND('Ash EAB'!$B$12*12,0)))</f>
        <v/>
      </c>
      <c r="T202" s="47"/>
      <c r="U202" s="12"/>
    </row>
    <row r="203" customFormat="false" ht="15" hidden="false" customHeight="true" outlineLevel="0" collapsed="false">
      <c r="A203" s="43"/>
      <c r="B203" s="81"/>
      <c r="C203" s="12"/>
      <c r="D203" s="42"/>
      <c r="E203" s="85"/>
      <c r="F203" s="47"/>
      <c r="G203" s="47"/>
      <c r="H203" s="47"/>
      <c r="I203" s="47"/>
      <c r="J203" s="12" t="str">
        <f aca="false">IF(N(D203)=0,"",IF(N(E203)&gt;0.5,IF(I203="Y","REMOVE NOW: target at risk","REMOVE NOW"),IF(N(E203)&gt;=0.3,"GRAY ZONE: assess structure",IF(G203="High","TREAT",IF(F203="Y","REMOVE AND REPLACE","PLANT FIRST, REMOVE LATER")))))</f>
        <v/>
      </c>
      <c r="K203" s="12" t="str">
        <f aca="false">IF(N(D203)=0,"",IF(J203="TREAT","Successor if space: ","")&amp;IF(H203="Wet","Quercus bicolor or Malus fusca",IF(H203="Riparian","Natives only: Malus fusca, Salix, Q. garryana on edges",IF(H203="Upland","Quercus garryana or Q. macrocarpa","Set site type"))))</f>
        <v/>
      </c>
      <c r="L203" s="54" t="str">
        <f aca="false">IF(N(D203)=0,"",D203*'Ash EAB'!$B$11)</f>
        <v/>
      </c>
      <c r="M203" s="54" t="str">
        <f aca="false">IF(N(D203)=0,"",L203*ROUNDUP('Ash EAB'!$B$17/'Ash EAB'!$B$12,0))</f>
        <v/>
      </c>
      <c r="N203" s="54" t="str">
        <f aca="false">IF(N(D203)=0,"",D203*'Ash EAB'!$B$13+'Ash EAB'!$B$15)</f>
        <v/>
      </c>
      <c r="O203" s="54" t="str">
        <f aca="false">IF(N(D203)=0,"",D203*'Ash EAB'!$B$13*'Ash EAB'!$B$14+'Ash EAB'!$B$15)</f>
        <v/>
      </c>
      <c r="P203" s="47" t="str">
        <f aca="false">IF(N(D203)=0,"",IF(M203&lt;N203,"Treat","Replace"))</f>
        <v/>
      </c>
      <c r="Q203" s="43"/>
      <c r="R203" s="37"/>
      <c r="S203" s="37" t="str">
        <f aca="false">IF(R203="","",EDATE(R203,ROUND('Ash EAB'!$B$12*12,0)))</f>
        <v/>
      </c>
      <c r="T203" s="47"/>
      <c r="U203" s="12"/>
    </row>
    <row r="204" customFormat="false" ht="15" hidden="false" customHeight="true" outlineLevel="0" collapsed="false">
      <c r="A204" s="43"/>
      <c r="B204" s="81"/>
      <c r="C204" s="12"/>
      <c r="D204" s="42"/>
      <c r="E204" s="85"/>
      <c r="F204" s="47"/>
      <c r="G204" s="47"/>
      <c r="H204" s="47"/>
      <c r="I204" s="47"/>
      <c r="J204" s="12" t="str">
        <f aca="false">IF(N(D204)=0,"",IF(N(E204)&gt;0.5,IF(I204="Y","REMOVE NOW: target at risk","REMOVE NOW"),IF(N(E204)&gt;=0.3,"GRAY ZONE: assess structure",IF(G204="High","TREAT",IF(F204="Y","REMOVE AND REPLACE","PLANT FIRST, REMOVE LATER")))))</f>
        <v/>
      </c>
      <c r="K204" s="12" t="str">
        <f aca="false">IF(N(D204)=0,"",IF(J204="TREAT","Successor if space: ","")&amp;IF(H204="Wet","Quercus bicolor or Malus fusca",IF(H204="Riparian","Natives only: Malus fusca, Salix, Q. garryana on edges",IF(H204="Upland","Quercus garryana or Q. macrocarpa","Set site type"))))</f>
        <v/>
      </c>
      <c r="L204" s="54" t="str">
        <f aca="false">IF(N(D204)=0,"",D204*'Ash EAB'!$B$11)</f>
        <v/>
      </c>
      <c r="M204" s="54" t="str">
        <f aca="false">IF(N(D204)=0,"",L204*ROUNDUP('Ash EAB'!$B$17/'Ash EAB'!$B$12,0))</f>
        <v/>
      </c>
      <c r="N204" s="54" t="str">
        <f aca="false">IF(N(D204)=0,"",D204*'Ash EAB'!$B$13+'Ash EAB'!$B$15)</f>
        <v/>
      </c>
      <c r="O204" s="54" t="str">
        <f aca="false">IF(N(D204)=0,"",D204*'Ash EAB'!$B$13*'Ash EAB'!$B$14+'Ash EAB'!$B$15)</f>
        <v/>
      </c>
      <c r="P204" s="47" t="str">
        <f aca="false">IF(N(D204)=0,"",IF(M204&lt;N204,"Treat","Replace"))</f>
        <v/>
      </c>
      <c r="Q204" s="43"/>
      <c r="R204" s="37"/>
      <c r="S204" s="37" t="str">
        <f aca="false">IF(R204="","",EDATE(R204,ROUND('Ash EAB'!$B$12*12,0)))</f>
        <v/>
      </c>
      <c r="T204" s="47"/>
      <c r="U204" s="12"/>
    </row>
    <row r="205" customFormat="false" ht="15" hidden="false" customHeight="true" outlineLevel="0" collapsed="false">
      <c r="A205" s="43"/>
      <c r="B205" s="81"/>
      <c r="C205" s="12"/>
      <c r="D205" s="42"/>
      <c r="E205" s="85"/>
      <c r="F205" s="47"/>
      <c r="G205" s="47"/>
      <c r="H205" s="47"/>
      <c r="I205" s="47"/>
      <c r="J205" s="12" t="str">
        <f aca="false">IF(N(D205)=0,"",IF(N(E205)&gt;0.5,IF(I205="Y","REMOVE NOW: target at risk","REMOVE NOW"),IF(N(E205)&gt;=0.3,"GRAY ZONE: assess structure",IF(G205="High","TREAT",IF(F205="Y","REMOVE AND REPLACE","PLANT FIRST, REMOVE LATER")))))</f>
        <v/>
      </c>
      <c r="K205" s="12" t="str">
        <f aca="false">IF(N(D205)=0,"",IF(J205="TREAT","Successor if space: ","")&amp;IF(H205="Wet","Quercus bicolor or Malus fusca",IF(H205="Riparian","Natives only: Malus fusca, Salix, Q. garryana on edges",IF(H205="Upland","Quercus garryana or Q. macrocarpa","Set site type"))))</f>
        <v/>
      </c>
      <c r="L205" s="54" t="str">
        <f aca="false">IF(N(D205)=0,"",D205*'Ash EAB'!$B$11)</f>
        <v/>
      </c>
      <c r="M205" s="54" t="str">
        <f aca="false">IF(N(D205)=0,"",L205*ROUNDUP('Ash EAB'!$B$17/'Ash EAB'!$B$12,0))</f>
        <v/>
      </c>
      <c r="N205" s="54" t="str">
        <f aca="false">IF(N(D205)=0,"",D205*'Ash EAB'!$B$13+'Ash EAB'!$B$15)</f>
        <v/>
      </c>
      <c r="O205" s="54" t="str">
        <f aca="false">IF(N(D205)=0,"",D205*'Ash EAB'!$B$13*'Ash EAB'!$B$14+'Ash EAB'!$B$15)</f>
        <v/>
      </c>
      <c r="P205" s="47" t="str">
        <f aca="false">IF(N(D205)=0,"",IF(M205&lt;N205,"Treat","Replace"))</f>
        <v/>
      </c>
      <c r="Q205" s="43"/>
      <c r="R205" s="37"/>
      <c r="S205" s="37" t="str">
        <f aca="false">IF(R205="","",EDATE(R205,ROUND('Ash EAB'!$B$12*12,0)))</f>
        <v/>
      </c>
      <c r="T205" s="47"/>
      <c r="U205" s="12"/>
    </row>
    <row r="206" customFormat="false" ht="15" hidden="false" customHeight="true" outlineLevel="0" collapsed="false">
      <c r="A206" s="43"/>
      <c r="B206" s="81"/>
      <c r="C206" s="12"/>
      <c r="D206" s="42"/>
      <c r="E206" s="85"/>
      <c r="F206" s="47"/>
      <c r="G206" s="47"/>
      <c r="H206" s="47"/>
      <c r="I206" s="47"/>
      <c r="J206" s="12" t="str">
        <f aca="false">IF(N(D206)=0,"",IF(N(E206)&gt;0.5,IF(I206="Y","REMOVE NOW: target at risk","REMOVE NOW"),IF(N(E206)&gt;=0.3,"GRAY ZONE: assess structure",IF(G206="High","TREAT",IF(F206="Y","REMOVE AND REPLACE","PLANT FIRST, REMOVE LATER")))))</f>
        <v/>
      </c>
      <c r="K206" s="12" t="str">
        <f aca="false">IF(N(D206)=0,"",IF(J206="TREAT","Successor if space: ","")&amp;IF(H206="Wet","Quercus bicolor or Malus fusca",IF(H206="Riparian","Natives only: Malus fusca, Salix, Q. garryana on edges",IF(H206="Upland","Quercus garryana or Q. macrocarpa","Set site type"))))</f>
        <v/>
      </c>
      <c r="L206" s="54" t="str">
        <f aca="false">IF(N(D206)=0,"",D206*'Ash EAB'!$B$11)</f>
        <v/>
      </c>
      <c r="M206" s="54" t="str">
        <f aca="false">IF(N(D206)=0,"",L206*ROUNDUP('Ash EAB'!$B$17/'Ash EAB'!$B$12,0))</f>
        <v/>
      </c>
      <c r="N206" s="54" t="str">
        <f aca="false">IF(N(D206)=0,"",D206*'Ash EAB'!$B$13+'Ash EAB'!$B$15)</f>
        <v/>
      </c>
      <c r="O206" s="54" t="str">
        <f aca="false">IF(N(D206)=0,"",D206*'Ash EAB'!$B$13*'Ash EAB'!$B$14+'Ash EAB'!$B$15)</f>
        <v/>
      </c>
      <c r="P206" s="47" t="str">
        <f aca="false">IF(N(D206)=0,"",IF(M206&lt;N206,"Treat","Replace"))</f>
        <v/>
      </c>
      <c r="Q206" s="43"/>
      <c r="R206" s="37"/>
      <c r="S206" s="37" t="str">
        <f aca="false">IF(R206="","",EDATE(R206,ROUND('Ash EAB'!$B$12*12,0)))</f>
        <v/>
      </c>
      <c r="T206" s="47"/>
      <c r="U206" s="12"/>
    </row>
    <row r="207" customFormat="false" ht="15" hidden="false" customHeight="true" outlineLevel="0" collapsed="false">
      <c r="A207" s="43"/>
      <c r="B207" s="81"/>
      <c r="C207" s="12"/>
      <c r="D207" s="42"/>
      <c r="E207" s="85"/>
      <c r="F207" s="47"/>
      <c r="G207" s="47"/>
      <c r="H207" s="47"/>
      <c r="I207" s="47"/>
      <c r="J207" s="12" t="str">
        <f aca="false">IF(N(D207)=0,"",IF(N(E207)&gt;0.5,IF(I207="Y","REMOVE NOW: target at risk","REMOVE NOW"),IF(N(E207)&gt;=0.3,"GRAY ZONE: assess structure",IF(G207="High","TREAT",IF(F207="Y","REMOVE AND REPLACE","PLANT FIRST, REMOVE LATER")))))</f>
        <v/>
      </c>
      <c r="K207" s="12" t="str">
        <f aca="false">IF(N(D207)=0,"",IF(J207="TREAT","Successor if space: ","")&amp;IF(H207="Wet","Quercus bicolor or Malus fusca",IF(H207="Riparian","Natives only: Malus fusca, Salix, Q. garryana on edges",IF(H207="Upland","Quercus garryana or Q. macrocarpa","Set site type"))))</f>
        <v/>
      </c>
      <c r="L207" s="54" t="str">
        <f aca="false">IF(N(D207)=0,"",D207*'Ash EAB'!$B$11)</f>
        <v/>
      </c>
      <c r="M207" s="54" t="str">
        <f aca="false">IF(N(D207)=0,"",L207*ROUNDUP('Ash EAB'!$B$17/'Ash EAB'!$B$12,0))</f>
        <v/>
      </c>
      <c r="N207" s="54" t="str">
        <f aca="false">IF(N(D207)=0,"",D207*'Ash EAB'!$B$13+'Ash EAB'!$B$15)</f>
        <v/>
      </c>
      <c r="O207" s="54" t="str">
        <f aca="false">IF(N(D207)=0,"",D207*'Ash EAB'!$B$13*'Ash EAB'!$B$14+'Ash EAB'!$B$15)</f>
        <v/>
      </c>
      <c r="P207" s="47" t="str">
        <f aca="false">IF(N(D207)=0,"",IF(M207&lt;N207,"Treat","Replace"))</f>
        <v/>
      </c>
      <c r="Q207" s="43"/>
      <c r="R207" s="37"/>
      <c r="S207" s="37" t="str">
        <f aca="false">IF(R207="","",EDATE(R207,ROUND('Ash EAB'!$B$12*12,0)))</f>
        <v/>
      </c>
      <c r="T207" s="47"/>
      <c r="U207" s="12"/>
    </row>
    <row r="208" customFormat="false" ht="15" hidden="false" customHeight="true" outlineLevel="0" collapsed="false">
      <c r="A208" s="43"/>
      <c r="B208" s="81"/>
      <c r="C208" s="12"/>
      <c r="D208" s="42"/>
      <c r="E208" s="85"/>
      <c r="F208" s="47"/>
      <c r="G208" s="47"/>
      <c r="H208" s="47"/>
      <c r="I208" s="47"/>
      <c r="J208" s="12" t="str">
        <f aca="false">IF(N(D208)=0,"",IF(N(E208)&gt;0.5,IF(I208="Y","REMOVE NOW: target at risk","REMOVE NOW"),IF(N(E208)&gt;=0.3,"GRAY ZONE: assess structure",IF(G208="High","TREAT",IF(F208="Y","REMOVE AND REPLACE","PLANT FIRST, REMOVE LATER")))))</f>
        <v/>
      </c>
      <c r="K208" s="12" t="str">
        <f aca="false">IF(N(D208)=0,"",IF(J208="TREAT","Successor if space: ","")&amp;IF(H208="Wet","Quercus bicolor or Malus fusca",IF(H208="Riparian","Natives only: Malus fusca, Salix, Q. garryana on edges",IF(H208="Upland","Quercus garryana or Q. macrocarpa","Set site type"))))</f>
        <v/>
      </c>
      <c r="L208" s="54" t="str">
        <f aca="false">IF(N(D208)=0,"",D208*'Ash EAB'!$B$11)</f>
        <v/>
      </c>
      <c r="M208" s="54" t="str">
        <f aca="false">IF(N(D208)=0,"",L208*ROUNDUP('Ash EAB'!$B$17/'Ash EAB'!$B$12,0))</f>
        <v/>
      </c>
      <c r="N208" s="54" t="str">
        <f aca="false">IF(N(D208)=0,"",D208*'Ash EAB'!$B$13+'Ash EAB'!$B$15)</f>
        <v/>
      </c>
      <c r="O208" s="54" t="str">
        <f aca="false">IF(N(D208)=0,"",D208*'Ash EAB'!$B$13*'Ash EAB'!$B$14+'Ash EAB'!$B$15)</f>
        <v/>
      </c>
      <c r="P208" s="47" t="str">
        <f aca="false">IF(N(D208)=0,"",IF(M208&lt;N208,"Treat","Replace"))</f>
        <v/>
      </c>
      <c r="Q208" s="43"/>
      <c r="R208" s="37"/>
      <c r="S208" s="37" t="str">
        <f aca="false">IF(R208="","",EDATE(R208,ROUND('Ash EAB'!$B$12*12,0)))</f>
        <v/>
      </c>
      <c r="T208" s="47"/>
      <c r="U208" s="12"/>
    </row>
    <row r="209" customFormat="false" ht="15" hidden="false" customHeight="true" outlineLevel="0" collapsed="false">
      <c r="A209" s="43"/>
      <c r="B209" s="81"/>
      <c r="C209" s="12"/>
      <c r="D209" s="42"/>
      <c r="E209" s="85"/>
      <c r="F209" s="47"/>
      <c r="G209" s="47"/>
      <c r="H209" s="47"/>
      <c r="I209" s="47"/>
      <c r="J209" s="12" t="str">
        <f aca="false">IF(N(D209)=0,"",IF(N(E209)&gt;0.5,IF(I209="Y","REMOVE NOW: target at risk","REMOVE NOW"),IF(N(E209)&gt;=0.3,"GRAY ZONE: assess structure",IF(G209="High","TREAT",IF(F209="Y","REMOVE AND REPLACE","PLANT FIRST, REMOVE LATER")))))</f>
        <v/>
      </c>
      <c r="K209" s="12" t="str">
        <f aca="false">IF(N(D209)=0,"",IF(J209="TREAT","Successor if space: ","")&amp;IF(H209="Wet","Quercus bicolor or Malus fusca",IF(H209="Riparian","Natives only: Malus fusca, Salix, Q. garryana on edges",IF(H209="Upland","Quercus garryana or Q. macrocarpa","Set site type"))))</f>
        <v/>
      </c>
      <c r="L209" s="54" t="str">
        <f aca="false">IF(N(D209)=0,"",D209*'Ash EAB'!$B$11)</f>
        <v/>
      </c>
      <c r="M209" s="54" t="str">
        <f aca="false">IF(N(D209)=0,"",L209*ROUNDUP('Ash EAB'!$B$17/'Ash EAB'!$B$12,0))</f>
        <v/>
      </c>
      <c r="N209" s="54" t="str">
        <f aca="false">IF(N(D209)=0,"",D209*'Ash EAB'!$B$13+'Ash EAB'!$B$15)</f>
        <v/>
      </c>
      <c r="O209" s="54" t="str">
        <f aca="false">IF(N(D209)=0,"",D209*'Ash EAB'!$B$13*'Ash EAB'!$B$14+'Ash EAB'!$B$15)</f>
        <v/>
      </c>
      <c r="P209" s="47" t="str">
        <f aca="false">IF(N(D209)=0,"",IF(M209&lt;N209,"Treat","Replace"))</f>
        <v/>
      </c>
      <c r="Q209" s="43"/>
      <c r="R209" s="37"/>
      <c r="S209" s="37" t="str">
        <f aca="false">IF(R209="","",EDATE(R209,ROUND('Ash EAB'!$B$12*12,0)))</f>
        <v/>
      </c>
      <c r="T209" s="47"/>
      <c r="U209" s="12"/>
    </row>
    <row r="210" customFormat="false" ht="15" hidden="false" customHeight="true" outlineLevel="0" collapsed="false">
      <c r="A210" s="43"/>
      <c r="B210" s="81"/>
      <c r="C210" s="12"/>
      <c r="D210" s="42"/>
      <c r="E210" s="85"/>
      <c r="F210" s="47"/>
      <c r="G210" s="47"/>
      <c r="H210" s="47"/>
      <c r="I210" s="47"/>
      <c r="J210" s="12" t="str">
        <f aca="false">IF(N(D210)=0,"",IF(N(E210)&gt;0.5,IF(I210="Y","REMOVE NOW: target at risk","REMOVE NOW"),IF(N(E210)&gt;=0.3,"GRAY ZONE: assess structure",IF(G210="High","TREAT",IF(F210="Y","REMOVE AND REPLACE","PLANT FIRST, REMOVE LATER")))))</f>
        <v/>
      </c>
      <c r="K210" s="12" t="str">
        <f aca="false">IF(N(D210)=0,"",IF(J210="TREAT","Successor if space: ","")&amp;IF(H210="Wet","Quercus bicolor or Malus fusca",IF(H210="Riparian","Natives only: Malus fusca, Salix, Q. garryana on edges",IF(H210="Upland","Quercus garryana or Q. macrocarpa","Set site type"))))</f>
        <v/>
      </c>
      <c r="L210" s="54" t="str">
        <f aca="false">IF(N(D210)=0,"",D210*'Ash EAB'!$B$11)</f>
        <v/>
      </c>
      <c r="M210" s="54" t="str">
        <f aca="false">IF(N(D210)=0,"",L210*ROUNDUP('Ash EAB'!$B$17/'Ash EAB'!$B$12,0))</f>
        <v/>
      </c>
      <c r="N210" s="54" t="str">
        <f aca="false">IF(N(D210)=0,"",D210*'Ash EAB'!$B$13+'Ash EAB'!$B$15)</f>
        <v/>
      </c>
      <c r="O210" s="54" t="str">
        <f aca="false">IF(N(D210)=0,"",D210*'Ash EAB'!$B$13*'Ash EAB'!$B$14+'Ash EAB'!$B$15)</f>
        <v/>
      </c>
      <c r="P210" s="47" t="str">
        <f aca="false">IF(N(D210)=0,"",IF(M210&lt;N210,"Treat","Replace"))</f>
        <v/>
      </c>
      <c r="Q210" s="43"/>
      <c r="R210" s="37"/>
      <c r="S210" s="37" t="str">
        <f aca="false">IF(R210="","",EDATE(R210,ROUND('Ash EAB'!$B$12*12,0)))</f>
        <v/>
      </c>
      <c r="T210" s="47"/>
      <c r="U210" s="12"/>
    </row>
    <row r="211" customFormat="false" ht="15" hidden="false" customHeight="true" outlineLevel="0" collapsed="false">
      <c r="A211" s="43"/>
      <c r="B211" s="81"/>
      <c r="C211" s="12"/>
      <c r="D211" s="42"/>
      <c r="E211" s="85"/>
      <c r="F211" s="47"/>
      <c r="G211" s="47"/>
      <c r="H211" s="47"/>
      <c r="I211" s="47"/>
      <c r="J211" s="12" t="str">
        <f aca="false">IF(N(D211)=0,"",IF(N(E211)&gt;0.5,IF(I211="Y","REMOVE NOW: target at risk","REMOVE NOW"),IF(N(E211)&gt;=0.3,"GRAY ZONE: assess structure",IF(G211="High","TREAT",IF(F211="Y","REMOVE AND REPLACE","PLANT FIRST, REMOVE LATER")))))</f>
        <v/>
      </c>
      <c r="K211" s="12" t="str">
        <f aca="false">IF(N(D211)=0,"",IF(J211="TREAT","Successor if space: ","")&amp;IF(H211="Wet","Quercus bicolor or Malus fusca",IF(H211="Riparian","Natives only: Malus fusca, Salix, Q. garryana on edges",IF(H211="Upland","Quercus garryana or Q. macrocarpa","Set site type"))))</f>
        <v/>
      </c>
      <c r="L211" s="54" t="str">
        <f aca="false">IF(N(D211)=0,"",D211*'Ash EAB'!$B$11)</f>
        <v/>
      </c>
      <c r="M211" s="54" t="str">
        <f aca="false">IF(N(D211)=0,"",L211*ROUNDUP('Ash EAB'!$B$17/'Ash EAB'!$B$12,0))</f>
        <v/>
      </c>
      <c r="N211" s="54" t="str">
        <f aca="false">IF(N(D211)=0,"",D211*'Ash EAB'!$B$13+'Ash EAB'!$B$15)</f>
        <v/>
      </c>
      <c r="O211" s="54" t="str">
        <f aca="false">IF(N(D211)=0,"",D211*'Ash EAB'!$B$13*'Ash EAB'!$B$14+'Ash EAB'!$B$15)</f>
        <v/>
      </c>
      <c r="P211" s="47" t="str">
        <f aca="false">IF(N(D211)=0,"",IF(M211&lt;N211,"Treat","Replace"))</f>
        <v/>
      </c>
      <c r="Q211" s="43"/>
      <c r="R211" s="37"/>
      <c r="S211" s="37" t="str">
        <f aca="false">IF(R211="","",EDATE(R211,ROUND('Ash EAB'!$B$12*12,0)))</f>
        <v/>
      </c>
      <c r="T211" s="47"/>
      <c r="U211" s="12"/>
    </row>
    <row r="212" customFormat="false" ht="15" hidden="false" customHeight="true" outlineLevel="0" collapsed="false">
      <c r="A212" s="43"/>
      <c r="B212" s="81"/>
      <c r="C212" s="12"/>
      <c r="D212" s="42"/>
      <c r="E212" s="85"/>
      <c r="F212" s="47"/>
      <c r="G212" s="47"/>
      <c r="H212" s="47"/>
      <c r="I212" s="47"/>
      <c r="J212" s="12" t="str">
        <f aca="false">IF(N(D212)=0,"",IF(N(E212)&gt;0.5,IF(I212="Y","REMOVE NOW: target at risk","REMOVE NOW"),IF(N(E212)&gt;=0.3,"GRAY ZONE: assess structure",IF(G212="High","TREAT",IF(F212="Y","REMOVE AND REPLACE","PLANT FIRST, REMOVE LATER")))))</f>
        <v/>
      </c>
      <c r="K212" s="12" t="str">
        <f aca="false">IF(N(D212)=0,"",IF(J212="TREAT","Successor if space: ","")&amp;IF(H212="Wet","Quercus bicolor or Malus fusca",IF(H212="Riparian","Natives only: Malus fusca, Salix, Q. garryana on edges",IF(H212="Upland","Quercus garryana or Q. macrocarpa","Set site type"))))</f>
        <v/>
      </c>
      <c r="L212" s="54" t="str">
        <f aca="false">IF(N(D212)=0,"",D212*'Ash EAB'!$B$11)</f>
        <v/>
      </c>
      <c r="M212" s="54" t="str">
        <f aca="false">IF(N(D212)=0,"",L212*ROUNDUP('Ash EAB'!$B$17/'Ash EAB'!$B$12,0))</f>
        <v/>
      </c>
      <c r="N212" s="54" t="str">
        <f aca="false">IF(N(D212)=0,"",D212*'Ash EAB'!$B$13+'Ash EAB'!$B$15)</f>
        <v/>
      </c>
      <c r="O212" s="54" t="str">
        <f aca="false">IF(N(D212)=0,"",D212*'Ash EAB'!$B$13*'Ash EAB'!$B$14+'Ash EAB'!$B$15)</f>
        <v/>
      </c>
      <c r="P212" s="47" t="str">
        <f aca="false">IF(N(D212)=0,"",IF(M212&lt;N212,"Treat","Replace"))</f>
        <v/>
      </c>
      <c r="Q212" s="43"/>
      <c r="R212" s="37"/>
      <c r="S212" s="37" t="str">
        <f aca="false">IF(R212="","",EDATE(R212,ROUND('Ash EAB'!$B$12*12,0)))</f>
        <v/>
      </c>
      <c r="T212" s="47"/>
      <c r="U212" s="12"/>
    </row>
    <row r="213" customFormat="false" ht="15" hidden="false" customHeight="true" outlineLevel="0" collapsed="false">
      <c r="A213" s="43"/>
      <c r="B213" s="81"/>
      <c r="C213" s="12"/>
      <c r="D213" s="42"/>
      <c r="E213" s="85"/>
      <c r="F213" s="47"/>
      <c r="G213" s="47"/>
      <c r="H213" s="47"/>
      <c r="I213" s="47"/>
      <c r="J213" s="12" t="str">
        <f aca="false">IF(N(D213)=0,"",IF(N(E213)&gt;0.5,IF(I213="Y","REMOVE NOW: target at risk","REMOVE NOW"),IF(N(E213)&gt;=0.3,"GRAY ZONE: assess structure",IF(G213="High","TREAT",IF(F213="Y","REMOVE AND REPLACE","PLANT FIRST, REMOVE LATER")))))</f>
        <v/>
      </c>
      <c r="K213" s="12" t="str">
        <f aca="false">IF(N(D213)=0,"",IF(J213="TREAT","Successor if space: ","")&amp;IF(H213="Wet","Quercus bicolor or Malus fusca",IF(H213="Riparian","Natives only: Malus fusca, Salix, Q. garryana on edges",IF(H213="Upland","Quercus garryana or Q. macrocarpa","Set site type"))))</f>
        <v/>
      </c>
      <c r="L213" s="54" t="str">
        <f aca="false">IF(N(D213)=0,"",D213*'Ash EAB'!$B$11)</f>
        <v/>
      </c>
      <c r="M213" s="54" t="str">
        <f aca="false">IF(N(D213)=0,"",L213*ROUNDUP('Ash EAB'!$B$17/'Ash EAB'!$B$12,0))</f>
        <v/>
      </c>
      <c r="N213" s="54" t="str">
        <f aca="false">IF(N(D213)=0,"",D213*'Ash EAB'!$B$13+'Ash EAB'!$B$15)</f>
        <v/>
      </c>
      <c r="O213" s="54" t="str">
        <f aca="false">IF(N(D213)=0,"",D213*'Ash EAB'!$B$13*'Ash EAB'!$B$14+'Ash EAB'!$B$15)</f>
        <v/>
      </c>
      <c r="P213" s="47" t="str">
        <f aca="false">IF(N(D213)=0,"",IF(M213&lt;N213,"Treat","Replace"))</f>
        <v/>
      </c>
      <c r="Q213" s="43"/>
      <c r="R213" s="37"/>
      <c r="S213" s="37" t="str">
        <f aca="false">IF(R213="","",EDATE(R213,ROUND('Ash EAB'!$B$12*12,0)))</f>
        <v/>
      </c>
      <c r="T213" s="47"/>
      <c r="U213" s="12"/>
    </row>
    <row r="214" customFormat="false" ht="15" hidden="false" customHeight="true" outlineLevel="0" collapsed="false">
      <c r="A214" s="43"/>
      <c r="B214" s="81"/>
      <c r="C214" s="12"/>
      <c r="D214" s="42"/>
      <c r="E214" s="85"/>
      <c r="F214" s="47"/>
      <c r="G214" s="47"/>
      <c r="H214" s="47"/>
      <c r="I214" s="47"/>
      <c r="J214" s="12" t="str">
        <f aca="false">IF(N(D214)=0,"",IF(N(E214)&gt;0.5,IF(I214="Y","REMOVE NOW: target at risk","REMOVE NOW"),IF(N(E214)&gt;=0.3,"GRAY ZONE: assess structure",IF(G214="High","TREAT",IF(F214="Y","REMOVE AND REPLACE","PLANT FIRST, REMOVE LATER")))))</f>
        <v/>
      </c>
      <c r="K214" s="12" t="str">
        <f aca="false">IF(N(D214)=0,"",IF(J214="TREAT","Successor if space: ","")&amp;IF(H214="Wet","Quercus bicolor or Malus fusca",IF(H214="Riparian","Natives only: Malus fusca, Salix, Q. garryana on edges",IF(H214="Upland","Quercus garryana or Q. macrocarpa","Set site type"))))</f>
        <v/>
      </c>
      <c r="L214" s="54" t="str">
        <f aca="false">IF(N(D214)=0,"",D214*'Ash EAB'!$B$11)</f>
        <v/>
      </c>
      <c r="M214" s="54" t="str">
        <f aca="false">IF(N(D214)=0,"",L214*ROUNDUP('Ash EAB'!$B$17/'Ash EAB'!$B$12,0))</f>
        <v/>
      </c>
      <c r="N214" s="54" t="str">
        <f aca="false">IF(N(D214)=0,"",D214*'Ash EAB'!$B$13+'Ash EAB'!$B$15)</f>
        <v/>
      </c>
      <c r="O214" s="54" t="str">
        <f aca="false">IF(N(D214)=0,"",D214*'Ash EAB'!$B$13*'Ash EAB'!$B$14+'Ash EAB'!$B$15)</f>
        <v/>
      </c>
      <c r="P214" s="47" t="str">
        <f aca="false">IF(N(D214)=0,"",IF(M214&lt;N214,"Treat","Replace"))</f>
        <v/>
      </c>
      <c r="Q214" s="43"/>
      <c r="R214" s="37"/>
      <c r="S214" s="37" t="str">
        <f aca="false">IF(R214="","",EDATE(R214,ROUND('Ash EAB'!$B$12*12,0)))</f>
        <v/>
      </c>
      <c r="T214" s="47"/>
      <c r="U214" s="12"/>
    </row>
    <row r="215" customFormat="false" ht="15" hidden="false" customHeight="true" outlineLevel="0" collapsed="false">
      <c r="A215" s="43"/>
      <c r="B215" s="81"/>
      <c r="C215" s="12"/>
      <c r="D215" s="42"/>
      <c r="E215" s="85"/>
      <c r="F215" s="47"/>
      <c r="G215" s="47"/>
      <c r="H215" s="47"/>
      <c r="I215" s="47"/>
      <c r="J215" s="12" t="str">
        <f aca="false">IF(N(D215)=0,"",IF(N(E215)&gt;0.5,IF(I215="Y","REMOVE NOW: target at risk","REMOVE NOW"),IF(N(E215)&gt;=0.3,"GRAY ZONE: assess structure",IF(G215="High","TREAT",IF(F215="Y","REMOVE AND REPLACE","PLANT FIRST, REMOVE LATER")))))</f>
        <v/>
      </c>
      <c r="K215" s="12" t="str">
        <f aca="false">IF(N(D215)=0,"",IF(J215="TREAT","Successor if space: ","")&amp;IF(H215="Wet","Quercus bicolor or Malus fusca",IF(H215="Riparian","Natives only: Malus fusca, Salix, Q. garryana on edges",IF(H215="Upland","Quercus garryana or Q. macrocarpa","Set site type"))))</f>
        <v/>
      </c>
      <c r="L215" s="54" t="str">
        <f aca="false">IF(N(D215)=0,"",D215*'Ash EAB'!$B$11)</f>
        <v/>
      </c>
      <c r="M215" s="54" t="str">
        <f aca="false">IF(N(D215)=0,"",L215*ROUNDUP('Ash EAB'!$B$17/'Ash EAB'!$B$12,0))</f>
        <v/>
      </c>
      <c r="N215" s="54" t="str">
        <f aca="false">IF(N(D215)=0,"",D215*'Ash EAB'!$B$13+'Ash EAB'!$B$15)</f>
        <v/>
      </c>
      <c r="O215" s="54" t="str">
        <f aca="false">IF(N(D215)=0,"",D215*'Ash EAB'!$B$13*'Ash EAB'!$B$14+'Ash EAB'!$B$15)</f>
        <v/>
      </c>
      <c r="P215" s="47" t="str">
        <f aca="false">IF(N(D215)=0,"",IF(M215&lt;N215,"Treat","Replace"))</f>
        <v/>
      </c>
      <c r="Q215" s="43"/>
      <c r="R215" s="37"/>
      <c r="S215" s="37" t="str">
        <f aca="false">IF(R215="","",EDATE(R215,ROUND('Ash EAB'!$B$12*12,0)))</f>
        <v/>
      </c>
      <c r="T215" s="47"/>
      <c r="U215" s="12"/>
    </row>
    <row r="216" customFormat="false" ht="15" hidden="false" customHeight="true" outlineLevel="0" collapsed="false">
      <c r="A216" s="43"/>
      <c r="B216" s="81"/>
      <c r="C216" s="12"/>
      <c r="D216" s="42"/>
      <c r="E216" s="85"/>
      <c r="F216" s="47"/>
      <c r="G216" s="47"/>
      <c r="H216" s="47"/>
      <c r="I216" s="47"/>
      <c r="J216" s="12" t="str">
        <f aca="false">IF(N(D216)=0,"",IF(N(E216)&gt;0.5,IF(I216="Y","REMOVE NOW: target at risk","REMOVE NOW"),IF(N(E216)&gt;=0.3,"GRAY ZONE: assess structure",IF(G216="High","TREAT",IF(F216="Y","REMOVE AND REPLACE","PLANT FIRST, REMOVE LATER")))))</f>
        <v/>
      </c>
      <c r="K216" s="12" t="str">
        <f aca="false">IF(N(D216)=0,"",IF(J216="TREAT","Successor if space: ","")&amp;IF(H216="Wet","Quercus bicolor or Malus fusca",IF(H216="Riparian","Natives only: Malus fusca, Salix, Q. garryana on edges",IF(H216="Upland","Quercus garryana or Q. macrocarpa","Set site type"))))</f>
        <v/>
      </c>
      <c r="L216" s="54" t="str">
        <f aca="false">IF(N(D216)=0,"",D216*'Ash EAB'!$B$11)</f>
        <v/>
      </c>
      <c r="M216" s="54" t="str">
        <f aca="false">IF(N(D216)=0,"",L216*ROUNDUP('Ash EAB'!$B$17/'Ash EAB'!$B$12,0))</f>
        <v/>
      </c>
      <c r="N216" s="54" t="str">
        <f aca="false">IF(N(D216)=0,"",D216*'Ash EAB'!$B$13+'Ash EAB'!$B$15)</f>
        <v/>
      </c>
      <c r="O216" s="54" t="str">
        <f aca="false">IF(N(D216)=0,"",D216*'Ash EAB'!$B$13*'Ash EAB'!$B$14+'Ash EAB'!$B$15)</f>
        <v/>
      </c>
      <c r="P216" s="47" t="str">
        <f aca="false">IF(N(D216)=0,"",IF(M216&lt;N216,"Treat","Replace"))</f>
        <v/>
      </c>
      <c r="Q216" s="43"/>
      <c r="R216" s="37"/>
      <c r="S216" s="37" t="str">
        <f aca="false">IF(R216="","",EDATE(R216,ROUND('Ash EAB'!$B$12*12,0)))</f>
        <v/>
      </c>
      <c r="T216" s="47"/>
      <c r="U216" s="12"/>
    </row>
    <row r="217" customFormat="false" ht="15" hidden="false" customHeight="true" outlineLevel="0" collapsed="false">
      <c r="A217" s="43"/>
      <c r="B217" s="81"/>
      <c r="C217" s="12"/>
      <c r="D217" s="42"/>
      <c r="E217" s="85"/>
      <c r="F217" s="47"/>
      <c r="G217" s="47"/>
      <c r="H217" s="47"/>
      <c r="I217" s="47"/>
      <c r="J217" s="12" t="str">
        <f aca="false">IF(N(D217)=0,"",IF(N(E217)&gt;0.5,IF(I217="Y","REMOVE NOW: target at risk","REMOVE NOW"),IF(N(E217)&gt;=0.3,"GRAY ZONE: assess structure",IF(G217="High","TREAT",IF(F217="Y","REMOVE AND REPLACE","PLANT FIRST, REMOVE LATER")))))</f>
        <v/>
      </c>
      <c r="K217" s="12" t="str">
        <f aca="false">IF(N(D217)=0,"",IF(J217="TREAT","Successor if space: ","")&amp;IF(H217="Wet","Quercus bicolor or Malus fusca",IF(H217="Riparian","Natives only: Malus fusca, Salix, Q. garryana on edges",IF(H217="Upland","Quercus garryana or Q. macrocarpa","Set site type"))))</f>
        <v/>
      </c>
      <c r="L217" s="54" t="str">
        <f aca="false">IF(N(D217)=0,"",D217*'Ash EAB'!$B$11)</f>
        <v/>
      </c>
      <c r="M217" s="54" t="str">
        <f aca="false">IF(N(D217)=0,"",L217*ROUNDUP('Ash EAB'!$B$17/'Ash EAB'!$B$12,0))</f>
        <v/>
      </c>
      <c r="N217" s="54" t="str">
        <f aca="false">IF(N(D217)=0,"",D217*'Ash EAB'!$B$13+'Ash EAB'!$B$15)</f>
        <v/>
      </c>
      <c r="O217" s="54" t="str">
        <f aca="false">IF(N(D217)=0,"",D217*'Ash EAB'!$B$13*'Ash EAB'!$B$14+'Ash EAB'!$B$15)</f>
        <v/>
      </c>
      <c r="P217" s="47" t="str">
        <f aca="false">IF(N(D217)=0,"",IF(M217&lt;N217,"Treat","Replace"))</f>
        <v/>
      </c>
      <c r="Q217" s="43"/>
      <c r="R217" s="37"/>
      <c r="S217" s="37" t="str">
        <f aca="false">IF(R217="","",EDATE(R217,ROUND('Ash EAB'!$B$12*12,0)))</f>
        <v/>
      </c>
      <c r="T217" s="47"/>
      <c r="U217" s="12"/>
    </row>
    <row r="218" customFormat="false" ht="15" hidden="false" customHeight="true" outlineLevel="0" collapsed="false">
      <c r="A218" s="43"/>
      <c r="B218" s="81"/>
      <c r="C218" s="12"/>
      <c r="D218" s="42"/>
      <c r="E218" s="85"/>
      <c r="F218" s="47"/>
      <c r="G218" s="47"/>
      <c r="H218" s="47"/>
      <c r="I218" s="47"/>
      <c r="J218" s="12" t="str">
        <f aca="false">IF(N(D218)=0,"",IF(N(E218)&gt;0.5,IF(I218="Y","REMOVE NOW: target at risk","REMOVE NOW"),IF(N(E218)&gt;=0.3,"GRAY ZONE: assess structure",IF(G218="High","TREAT",IF(F218="Y","REMOVE AND REPLACE","PLANT FIRST, REMOVE LATER")))))</f>
        <v/>
      </c>
      <c r="K218" s="12" t="str">
        <f aca="false">IF(N(D218)=0,"",IF(J218="TREAT","Successor if space: ","")&amp;IF(H218="Wet","Quercus bicolor or Malus fusca",IF(H218="Riparian","Natives only: Malus fusca, Salix, Q. garryana on edges",IF(H218="Upland","Quercus garryana or Q. macrocarpa","Set site type"))))</f>
        <v/>
      </c>
      <c r="L218" s="54" t="str">
        <f aca="false">IF(N(D218)=0,"",D218*'Ash EAB'!$B$11)</f>
        <v/>
      </c>
      <c r="M218" s="54" t="str">
        <f aca="false">IF(N(D218)=0,"",L218*ROUNDUP('Ash EAB'!$B$17/'Ash EAB'!$B$12,0))</f>
        <v/>
      </c>
      <c r="N218" s="54" t="str">
        <f aca="false">IF(N(D218)=0,"",D218*'Ash EAB'!$B$13+'Ash EAB'!$B$15)</f>
        <v/>
      </c>
      <c r="O218" s="54" t="str">
        <f aca="false">IF(N(D218)=0,"",D218*'Ash EAB'!$B$13*'Ash EAB'!$B$14+'Ash EAB'!$B$15)</f>
        <v/>
      </c>
      <c r="P218" s="47" t="str">
        <f aca="false">IF(N(D218)=0,"",IF(M218&lt;N218,"Treat","Replace"))</f>
        <v/>
      </c>
      <c r="Q218" s="43"/>
      <c r="R218" s="37"/>
      <c r="S218" s="37" t="str">
        <f aca="false">IF(R218="","",EDATE(R218,ROUND('Ash EAB'!$B$12*12,0)))</f>
        <v/>
      </c>
      <c r="T218" s="47"/>
      <c r="U218" s="12"/>
    </row>
    <row r="219" customFormat="false" ht="15" hidden="false" customHeight="true" outlineLevel="0" collapsed="false">
      <c r="A219" s="43"/>
      <c r="B219" s="81"/>
      <c r="C219" s="12"/>
      <c r="D219" s="42"/>
      <c r="E219" s="85"/>
      <c r="F219" s="47"/>
      <c r="G219" s="47"/>
      <c r="H219" s="47"/>
      <c r="I219" s="47"/>
      <c r="J219" s="12" t="str">
        <f aca="false">IF(N(D219)=0,"",IF(N(E219)&gt;0.5,IF(I219="Y","REMOVE NOW: target at risk","REMOVE NOW"),IF(N(E219)&gt;=0.3,"GRAY ZONE: assess structure",IF(G219="High","TREAT",IF(F219="Y","REMOVE AND REPLACE","PLANT FIRST, REMOVE LATER")))))</f>
        <v/>
      </c>
      <c r="K219" s="12" t="str">
        <f aca="false">IF(N(D219)=0,"",IF(J219="TREAT","Successor if space: ","")&amp;IF(H219="Wet","Quercus bicolor or Malus fusca",IF(H219="Riparian","Natives only: Malus fusca, Salix, Q. garryana on edges",IF(H219="Upland","Quercus garryana or Q. macrocarpa","Set site type"))))</f>
        <v/>
      </c>
      <c r="L219" s="54" t="str">
        <f aca="false">IF(N(D219)=0,"",D219*'Ash EAB'!$B$11)</f>
        <v/>
      </c>
      <c r="M219" s="54" t="str">
        <f aca="false">IF(N(D219)=0,"",L219*ROUNDUP('Ash EAB'!$B$17/'Ash EAB'!$B$12,0))</f>
        <v/>
      </c>
      <c r="N219" s="54" t="str">
        <f aca="false">IF(N(D219)=0,"",D219*'Ash EAB'!$B$13+'Ash EAB'!$B$15)</f>
        <v/>
      </c>
      <c r="O219" s="54" t="str">
        <f aca="false">IF(N(D219)=0,"",D219*'Ash EAB'!$B$13*'Ash EAB'!$B$14+'Ash EAB'!$B$15)</f>
        <v/>
      </c>
      <c r="P219" s="47" t="str">
        <f aca="false">IF(N(D219)=0,"",IF(M219&lt;N219,"Treat","Replace"))</f>
        <v/>
      </c>
      <c r="Q219" s="43"/>
      <c r="R219" s="37"/>
      <c r="S219" s="37" t="str">
        <f aca="false">IF(R219="","",EDATE(R219,ROUND('Ash EAB'!$B$12*12,0)))</f>
        <v/>
      </c>
      <c r="T219" s="47"/>
      <c r="U219" s="12"/>
    </row>
    <row r="220" customFormat="false" ht="15" hidden="false" customHeight="true" outlineLevel="0" collapsed="false">
      <c r="A220" s="43"/>
      <c r="B220" s="81"/>
      <c r="C220" s="12"/>
      <c r="D220" s="42"/>
      <c r="E220" s="85"/>
      <c r="F220" s="47"/>
      <c r="G220" s="47"/>
      <c r="H220" s="47"/>
      <c r="I220" s="47"/>
      <c r="J220" s="12" t="str">
        <f aca="false">IF(N(D220)=0,"",IF(N(E220)&gt;0.5,IF(I220="Y","REMOVE NOW: target at risk","REMOVE NOW"),IF(N(E220)&gt;=0.3,"GRAY ZONE: assess structure",IF(G220="High","TREAT",IF(F220="Y","REMOVE AND REPLACE","PLANT FIRST, REMOVE LATER")))))</f>
        <v/>
      </c>
      <c r="K220" s="12" t="str">
        <f aca="false">IF(N(D220)=0,"",IF(J220="TREAT","Successor if space: ","")&amp;IF(H220="Wet","Quercus bicolor or Malus fusca",IF(H220="Riparian","Natives only: Malus fusca, Salix, Q. garryana on edges",IF(H220="Upland","Quercus garryana or Q. macrocarpa","Set site type"))))</f>
        <v/>
      </c>
      <c r="L220" s="54" t="str">
        <f aca="false">IF(N(D220)=0,"",D220*'Ash EAB'!$B$11)</f>
        <v/>
      </c>
      <c r="M220" s="54" t="str">
        <f aca="false">IF(N(D220)=0,"",L220*ROUNDUP('Ash EAB'!$B$17/'Ash EAB'!$B$12,0))</f>
        <v/>
      </c>
      <c r="N220" s="54" t="str">
        <f aca="false">IF(N(D220)=0,"",D220*'Ash EAB'!$B$13+'Ash EAB'!$B$15)</f>
        <v/>
      </c>
      <c r="O220" s="54" t="str">
        <f aca="false">IF(N(D220)=0,"",D220*'Ash EAB'!$B$13*'Ash EAB'!$B$14+'Ash EAB'!$B$15)</f>
        <v/>
      </c>
      <c r="P220" s="47" t="str">
        <f aca="false">IF(N(D220)=0,"",IF(M220&lt;N220,"Treat","Replace"))</f>
        <v/>
      </c>
      <c r="Q220" s="43"/>
      <c r="R220" s="37"/>
      <c r="S220" s="37" t="str">
        <f aca="false">IF(R220="","",EDATE(R220,ROUND('Ash EAB'!$B$12*12,0)))</f>
        <v/>
      </c>
      <c r="T220" s="47"/>
      <c r="U220" s="12"/>
    </row>
    <row r="221" customFormat="false" ht="15" hidden="false" customHeight="true" outlineLevel="0" collapsed="false">
      <c r="A221" s="43"/>
      <c r="B221" s="81"/>
      <c r="C221" s="12"/>
      <c r="D221" s="42"/>
      <c r="E221" s="85"/>
      <c r="F221" s="47"/>
      <c r="G221" s="47"/>
      <c r="H221" s="47"/>
      <c r="I221" s="47"/>
      <c r="J221" s="12" t="str">
        <f aca="false">IF(N(D221)=0,"",IF(N(E221)&gt;0.5,IF(I221="Y","REMOVE NOW: target at risk","REMOVE NOW"),IF(N(E221)&gt;=0.3,"GRAY ZONE: assess structure",IF(G221="High","TREAT",IF(F221="Y","REMOVE AND REPLACE","PLANT FIRST, REMOVE LATER")))))</f>
        <v/>
      </c>
      <c r="K221" s="12" t="str">
        <f aca="false">IF(N(D221)=0,"",IF(J221="TREAT","Successor if space: ","")&amp;IF(H221="Wet","Quercus bicolor or Malus fusca",IF(H221="Riparian","Natives only: Malus fusca, Salix, Q. garryana on edges",IF(H221="Upland","Quercus garryana or Q. macrocarpa","Set site type"))))</f>
        <v/>
      </c>
      <c r="L221" s="54" t="str">
        <f aca="false">IF(N(D221)=0,"",D221*'Ash EAB'!$B$11)</f>
        <v/>
      </c>
      <c r="M221" s="54" t="str">
        <f aca="false">IF(N(D221)=0,"",L221*ROUNDUP('Ash EAB'!$B$17/'Ash EAB'!$B$12,0))</f>
        <v/>
      </c>
      <c r="N221" s="54" t="str">
        <f aca="false">IF(N(D221)=0,"",D221*'Ash EAB'!$B$13+'Ash EAB'!$B$15)</f>
        <v/>
      </c>
      <c r="O221" s="54" t="str">
        <f aca="false">IF(N(D221)=0,"",D221*'Ash EAB'!$B$13*'Ash EAB'!$B$14+'Ash EAB'!$B$15)</f>
        <v/>
      </c>
      <c r="P221" s="47" t="str">
        <f aca="false">IF(N(D221)=0,"",IF(M221&lt;N221,"Treat","Replace"))</f>
        <v/>
      </c>
      <c r="Q221" s="43"/>
      <c r="R221" s="37"/>
      <c r="S221" s="37" t="str">
        <f aca="false">IF(R221="","",EDATE(R221,ROUND('Ash EAB'!$B$12*12,0)))</f>
        <v/>
      </c>
      <c r="T221" s="47"/>
      <c r="U221" s="12"/>
    </row>
    <row r="222" customFormat="false" ht="15" hidden="false" customHeight="true" outlineLevel="0" collapsed="false">
      <c r="A222" s="43"/>
      <c r="B222" s="81"/>
      <c r="C222" s="12"/>
      <c r="D222" s="42"/>
      <c r="E222" s="85"/>
      <c r="F222" s="47"/>
      <c r="G222" s="47"/>
      <c r="H222" s="47"/>
      <c r="I222" s="47"/>
      <c r="J222" s="12" t="str">
        <f aca="false">IF(N(D222)=0,"",IF(N(E222)&gt;0.5,IF(I222="Y","REMOVE NOW: target at risk","REMOVE NOW"),IF(N(E222)&gt;=0.3,"GRAY ZONE: assess structure",IF(G222="High","TREAT",IF(F222="Y","REMOVE AND REPLACE","PLANT FIRST, REMOVE LATER")))))</f>
        <v/>
      </c>
      <c r="K222" s="12" t="str">
        <f aca="false">IF(N(D222)=0,"",IF(J222="TREAT","Successor if space: ","")&amp;IF(H222="Wet","Quercus bicolor or Malus fusca",IF(H222="Riparian","Natives only: Malus fusca, Salix, Q. garryana on edges",IF(H222="Upland","Quercus garryana or Q. macrocarpa","Set site type"))))</f>
        <v/>
      </c>
      <c r="L222" s="54" t="str">
        <f aca="false">IF(N(D222)=0,"",D222*'Ash EAB'!$B$11)</f>
        <v/>
      </c>
      <c r="M222" s="54" t="str">
        <f aca="false">IF(N(D222)=0,"",L222*ROUNDUP('Ash EAB'!$B$17/'Ash EAB'!$B$12,0))</f>
        <v/>
      </c>
      <c r="N222" s="54" t="str">
        <f aca="false">IF(N(D222)=0,"",D222*'Ash EAB'!$B$13+'Ash EAB'!$B$15)</f>
        <v/>
      </c>
      <c r="O222" s="54" t="str">
        <f aca="false">IF(N(D222)=0,"",D222*'Ash EAB'!$B$13*'Ash EAB'!$B$14+'Ash EAB'!$B$15)</f>
        <v/>
      </c>
      <c r="P222" s="47" t="str">
        <f aca="false">IF(N(D222)=0,"",IF(M222&lt;N222,"Treat","Replace"))</f>
        <v/>
      </c>
      <c r="Q222" s="43"/>
      <c r="R222" s="37"/>
      <c r="S222" s="37" t="str">
        <f aca="false">IF(R222="","",EDATE(R222,ROUND('Ash EAB'!$B$12*12,0)))</f>
        <v/>
      </c>
      <c r="T222" s="47"/>
      <c r="U222" s="12"/>
    </row>
    <row r="223" customFormat="false" ht="15" hidden="false" customHeight="true" outlineLevel="0" collapsed="false">
      <c r="A223" s="43"/>
      <c r="B223" s="81"/>
      <c r="C223" s="12"/>
      <c r="D223" s="42"/>
      <c r="E223" s="85"/>
      <c r="F223" s="47"/>
      <c r="G223" s="47"/>
      <c r="H223" s="47"/>
      <c r="I223" s="47"/>
      <c r="J223" s="12" t="str">
        <f aca="false">IF(N(D223)=0,"",IF(N(E223)&gt;0.5,IF(I223="Y","REMOVE NOW: target at risk","REMOVE NOW"),IF(N(E223)&gt;=0.3,"GRAY ZONE: assess structure",IF(G223="High","TREAT",IF(F223="Y","REMOVE AND REPLACE","PLANT FIRST, REMOVE LATER")))))</f>
        <v/>
      </c>
      <c r="K223" s="12" t="str">
        <f aca="false">IF(N(D223)=0,"",IF(J223="TREAT","Successor if space: ","")&amp;IF(H223="Wet","Quercus bicolor or Malus fusca",IF(H223="Riparian","Natives only: Malus fusca, Salix, Q. garryana on edges",IF(H223="Upland","Quercus garryana or Q. macrocarpa","Set site type"))))</f>
        <v/>
      </c>
      <c r="L223" s="54" t="str">
        <f aca="false">IF(N(D223)=0,"",D223*'Ash EAB'!$B$11)</f>
        <v/>
      </c>
      <c r="M223" s="54" t="str">
        <f aca="false">IF(N(D223)=0,"",L223*ROUNDUP('Ash EAB'!$B$17/'Ash EAB'!$B$12,0))</f>
        <v/>
      </c>
      <c r="N223" s="54" t="str">
        <f aca="false">IF(N(D223)=0,"",D223*'Ash EAB'!$B$13+'Ash EAB'!$B$15)</f>
        <v/>
      </c>
      <c r="O223" s="54" t="str">
        <f aca="false">IF(N(D223)=0,"",D223*'Ash EAB'!$B$13*'Ash EAB'!$B$14+'Ash EAB'!$B$15)</f>
        <v/>
      </c>
      <c r="P223" s="47" t="str">
        <f aca="false">IF(N(D223)=0,"",IF(M223&lt;N223,"Treat","Replace"))</f>
        <v/>
      </c>
      <c r="Q223" s="43"/>
      <c r="R223" s="37"/>
      <c r="S223" s="37" t="str">
        <f aca="false">IF(R223="","",EDATE(R223,ROUND('Ash EAB'!$B$12*12,0)))</f>
        <v/>
      </c>
      <c r="T223" s="47"/>
      <c r="U223" s="12"/>
    </row>
    <row r="224" customFormat="false" ht="15" hidden="false" customHeight="true" outlineLevel="0" collapsed="false">
      <c r="A224" s="43"/>
      <c r="B224" s="81"/>
      <c r="C224" s="12"/>
      <c r="D224" s="42"/>
      <c r="E224" s="85"/>
      <c r="F224" s="47"/>
      <c r="G224" s="47"/>
      <c r="H224" s="47"/>
      <c r="I224" s="47"/>
      <c r="J224" s="12" t="str">
        <f aca="false">IF(N(D224)=0,"",IF(N(E224)&gt;0.5,IF(I224="Y","REMOVE NOW: target at risk","REMOVE NOW"),IF(N(E224)&gt;=0.3,"GRAY ZONE: assess structure",IF(G224="High","TREAT",IF(F224="Y","REMOVE AND REPLACE","PLANT FIRST, REMOVE LATER")))))</f>
        <v/>
      </c>
      <c r="K224" s="12" t="str">
        <f aca="false">IF(N(D224)=0,"",IF(J224="TREAT","Successor if space: ","")&amp;IF(H224="Wet","Quercus bicolor or Malus fusca",IF(H224="Riparian","Natives only: Malus fusca, Salix, Q. garryana on edges",IF(H224="Upland","Quercus garryana or Q. macrocarpa","Set site type"))))</f>
        <v/>
      </c>
      <c r="L224" s="54" t="str">
        <f aca="false">IF(N(D224)=0,"",D224*'Ash EAB'!$B$11)</f>
        <v/>
      </c>
      <c r="M224" s="54" t="str">
        <f aca="false">IF(N(D224)=0,"",L224*ROUNDUP('Ash EAB'!$B$17/'Ash EAB'!$B$12,0))</f>
        <v/>
      </c>
      <c r="N224" s="54" t="str">
        <f aca="false">IF(N(D224)=0,"",D224*'Ash EAB'!$B$13+'Ash EAB'!$B$15)</f>
        <v/>
      </c>
      <c r="O224" s="54" t="str">
        <f aca="false">IF(N(D224)=0,"",D224*'Ash EAB'!$B$13*'Ash EAB'!$B$14+'Ash EAB'!$B$15)</f>
        <v/>
      </c>
      <c r="P224" s="47" t="str">
        <f aca="false">IF(N(D224)=0,"",IF(M224&lt;N224,"Treat","Replace"))</f>
        <v/>
      </c>
      <c r="Q224" s="43"/>
      <c r="R224" s="37"/>
      <c r="S224" s="37" t="str">
        <f aca="false">IF(R224="","",EDATE(R224,ROUND('Ash EAB'!$B$12*12,0)))</f>
        <v/>
      </c>
      <c r="T224" s="47"/>
      <c r="U224" s="12"/>
    </row>
    <row r="225" customFormat="false" ht="15" hidden="false" customHeight="true" outlineLevel="0" collapsed="false">
      <c r="A225" s="43"/>
      <c r="B225" s="81"/>
      <c r="C225" s="12"/>
      <c r="D225" s="42"/>
      <c r="E225" s="85"/>
      <c r="F225" s="47"/>
      <c r="G225" s="47"/>
      <c r="H225" s="47"/>
      <c r="I225" s="47"/>
      <c r="J225" s="12" t="str">
        <f aca="false">IF(N(D225)=0,"",IF(N(E225)&gt;0.5,IF(I225="Y","REMOVE NOW: target at risk","REMOVE NOW"),IF(N(E225)&gt;=0.3,"GRAY ZONE: assess structure",IF(G225="High","TREAT",IF(F225="Y","REMOVE AND REPLACE","PLANT FIRST, REMOVE LATER")))))</f>
        <v/>
      </c>
      <c r="K225" s="12" t="str">
        <f aca="false">IF(N(D225)=0,"",IF(J225="TREAT","Successor if space: ","")&amp;IF(H225="Wet","Quercus bicolor or Malus fusca",IF(H225="Riparian","Natives only: Malus fusca, Salix, Q. garryana on edges",IF(H225="Upland","Quercus garryana or Q. macrocarpa","Set site type"))))</f>
        <v/>
      </c>
      <c r="L225" s="54" t="str">
        <f aca="false">IF(N(D225)=0,"",D225*'Ash EAB'!$B$11)</f>
        <v/>
      </c>
      <c r="M225" s="54" t="str">
        <f aca="false">IF(N(D225)=0,"",L225*ROUNDUP('Ash EAB'!$B$17/'Ash EAB'!$B$12,0))</f>
        <v/>
      </c>
      <c r="N225" s="54" t="str">
        <f aca="false">IF(N(D225)=0,"",D225*'Ash EAB'!$B$13+'Ash EAB'!$B$15)</f>
        <v/>
      </c>
      <c r="O225" s="54" t="str">
        <f aca="false">IF(N(D225)=0,"",D225*'Ash EAB'!$B$13*'Ash EAB'!$B$14+'Ash EAB'!$B$15)</f>
        <v/>
      </c>
      <c r="P225" s="47" t="str">
        <f aca="false">IF(N(D225)=0,"",IF(M225&lt;N225,"Treat","Replace"))</f>
        <v/>
      </c>
      <c r="Q225" s="43"/>
      <c r="R225" s="37"/>
      <c r="S225" s="37" t="str">
        <f aca="false">IF(R225="","",EDATE(R225,ROUND('Ash EAB'!$B$12*12,0)))</f>
        <v/>
      </c>
      <c r="T225" s="47"/>
      <c r="U225" s="12"/>
    </row>
    <row r="226" customFormat="false" ht="15" hidden="false" customHeight="true" outlineLevel="0" collapsed="false">
      <c r="A226" s="43"/>
      <c r="B226" s="81"/>
      <c r="C226" s="12"/>
      <c r="D226" s="42"/>
      <c r="E226" s="85"/>
      <c r="F226" s="47"/>
      <c r="G226" s="47"/>
      <c r="H226" s="47"/>
      <c r="I226" s="47"/>
      <c r="J226" s="12" t="str">
        <f aca="false">IF(N(D226)=0,"",IF(N(E226)&gt;0.5,IF(I226="Y","REMOVE NOW: target at risk","REMOVE NOW"),IF(N(E226)&gt;=0.3,"GRAY ZONE: assess structure",IF(G226="High","TREAT",IF(F226="Y","REMOVE AND REPLACE","PLANT FIRST, REMOVE LATER")))))</f>
        <v/>
      </c>
      <c r="K226" s="12" t="str">
        <f aca="false">IF(N(D226)=0,"",IF(J226="TREAT","Successor if space: ","")&amp;IF(H226="Wet","Quercus bicolor or Malus fusca",IF(H226="Riparian","Natives only: Malus fusca, Salix, Q. garryana on edges",IF(H226="Upland","Quercus garryana or Q. macrocarpa","Set site type"))))</f>
        <v/>
      </c>
      <c r="L226" s="54" t="str">
        <f aca="false">IF(N(D226)=0,"",D226*'Ash EAB'!$B$11)</f>
        <v/>
      </c>
      <c r="M226" s="54" t="str">
        <f aca="false">IF(N(D226)=0,"",L226*ROUNDUP('Ash EAB'!$B$17/'Ash EAB'!$B$12,0))</f>
        <v/>
      </c>
      <c r="N226" s="54" t="str">
        <f aca="false">IF(N(D226)=0,"",D226*'Ash EAB'!$B$13+'Ash EAB'!$B$15)</f>
        <v/>
      </c>
      <c r="O226" s="54" t="str">
        <f aca="false">IF(N(D226)=0,"",D226*'Ash EAB'!$B$13*'Ash EAB'!$B$14+'Ash EAB'!$B$15)</f>
        <v/>
      </c>
      <c r="P226" s="47" t="str">
        <f aca="false">IF(N(D226)=0,"",IF(M226&lt;N226,"Treat","Replace"))</f>
        <v/>
      </c>
      <c r="Q226" s="43"/>
      <c r="R226" s="37"/>
      <c r="S226" s="37" t="str">
        <f aca="false">IF(R226="","",EDATE(R226,ROUND('Ash EAB'!$B$12*12,0)))</f>
        <v/>
      </c>
      <c r="T226" s="47"/>
      <c r="U226" s="12"/>
    </row>
    <row r="227" customFormat="false" ht="15" hidden="false" customHeight="true" outlineLevel="0" collapsed="false">
      <c r="A227" s="43"/>
      <c r="B227" s="81"/>
      <c r="C227" s="12"/>
      <c r="D227" s="42"/>
      <c r="E227" s="85"/>
      <c r="F227" s="47"/>
      <c r="G227" s="47"/>
      <c r="H227" s="47"/>
      <c r="I227" s="47"/>
      <c r="J227" s="12" t="str">
        <f aca="false">IF(N(D227)=0,"",IF(N(E227)&gt;0.5,IF(I227="Y","REMOVE NOW: target at risk","REMOVE NOW"),IF(N(E227)&gt;=0.3,"GRAY ZONE: assess structure",IF(G227="High","TREAT",IF(F227="Y","REMOVE AND REPLACE","PLANT FIRST, REMOVE LATER")))))</f>
        <v/>
      </c>
      <c r="K227" s="12" t="str">
        <f aca="false">IF(N(D227)=0,"",IF(J227="TREAT","Successor if space: ","")&amp;IF(H227="Wet","Quercus bicolor or Malus fusca",IF(H227="Riparian","Natives only: Malus fusca, Salix, Q. garryana on edges",IF(H227="Upland","Quercus garryana or Q. macrocarpa","Set site type"))))</f>
        <v/>
      </c>
      <c r="L227" s="54" t="str">
        <f aca="false">IF(N(D227)=0,"",D227*'Ash EAB'!$B$11)</f>
        <v/>
      </c>
      <c r="M227" s="54" t="str">
        <f aca="false">IF(N(D227)=0,"",L227*ROUNDUP('Ash EAB'!$B$17/'Ash EAB'!$B$12,0))</f>
        <v/>
      </c>
      <c r="N227" s="54" t="str">
        <f aca="false">IF(N(D227)=0,"",D227*'Ash EAB'!$B$13+'Ash EAB'!$B$15)</f>
        <v/>
      </c>
      <c r="O227" s="54" t="str">
        <f aca="false">IF(N(D227)=0,"",D227*'Ash EAB'!$B$13*'Ash EAB'!$B$14+'Ash EAB'!$B$15)</f>
        <v/>
      </c>
      <c r="P227" s="47" t="str">
        <f aca="false">IF(N(D227)=0,"",IF(M227&lt;N227,"Treat","Replace"))</f>
        <v/>
      </c>
      <c r="Q227" s="43"/>
      <c r="R227" s="37"/>
      <c r="S227" s="37" t="str">
        <f aca="false">IF(R227="","",EDATE(R227,ROUND('Ash EAB'!$B$12*12,0)))</f>
        <v/>
      </c>
      <c r="T227" s="47"/>
      <c r="U227" s="12"/>
    </row>
    <row r="228" customFormat="false" ht="15" hidden="false" customHeight="true" outlineLevel="0" collapsed="false">
      <c r="A228" s="43"/>
      <c r="B228" s="81"/>
      <c r="C228" s="12"/>
      <c r="D228" s="42"/>
      <c r="E228" s="85"/>
      <c r="F228" s="47"/>
      <c r="G228" s="47"/>
      <c r="H228" s="47"/>
      <c r="I228" s="47"/>
      <c r="J228" s="12" t="str">
        <f aca="false">IF(N(D228)=0,"",IF(N(E228)&gt;0.5,IF(I228="Y","REMOVE NOW: target at risk","REMOVE NOW"),IF(N(E228)&gt;=0.3,"GRAY ZONE: assess structure",IF(G228="High","TREAT",IF(F228="Y","REMOVE AND REPLACE","PLANT FIRST, REMOVE LATER")))))</f>
        <v/>
      </c>
      <c r="K228" s="12" t="str">
        <f aca="false">IF(N(D228)=0,"",IF(J228="TREAT","Successor if space: ","")&amp;IF(H228="Wet","Quercus bicolor or Malus fusca",IF(H228="Riparian","Natives only: Malus fusca, Salix, Q. garryana on edges",IF(H228="Upland","Quercus garryana or Q. macrocarpa","Set site type"))))</f>
        <v/>
      </c>
      <c r="L228" s="54" t="str">
        <f aca="false">IF(N(D228)=0,"",D228*'Ash EAB'!$B$11)</f>
        <v/>
      </c>
      <c r="M228" s="54" t="str">
        <f aca="false">IF(N(D228)=0,"",L228*ROUNDUP('Ash EAB'!$B$17/'Ash EAB'!$B$12,0))</f>
        <v/>
      </c>
      <c r="N228" s="54" t="str">
        <f aca="false">IF(N(D228)=0,"",D228*'Ash EAB'!$B$13+'Ash EAB'!$B$15)</f>
        <v/>
      </c>
      <c r="O228" s="54" t="str">
        <f aca="false">IF(N(D228)=0,"",D228*'Ash EAB'!$B$13*'Ash EAB'!$B$14+'Ash EAB'!$B$15)</f>
        <v/>
      </c>
      <c r="P228" s="47" t="str">
        <f aca="false">IF(N(D228)=0,"",IF(M228&lt;N228,"Treat","Replace"))</f>
        <v/>
      </c>
      <c r="Q228" s="43"/>
      <c r="R228" s="37"/>
      <c r="S228" s="37" t="str">
        <f aca="false">IF(R228="","",EDATE(R228,ROUND('Ash EAB'!$B$12*12,0)))</f>
        <v/>
      </c>
      <c r="T228" s="47"/>
      <c r="U228" s="12"/>
    </row>
    <row r="229" customFormat="false" ht="15" hidden="false" customHeight="true" outlineLevel="0" collapsed="false">
      <c r="A229" s="43"/>
      <c r="B229" s="81"/>
      <c r="C229" s="12"/>
      <c r="D229" s="42"/>
      <c r="E229" s="85"/>
      <c r="F229" s="47"/>
      <c r="G229" s="47"/>
      <c r="H229" s="47"/>
      <c r="I229" s="47"/>
      <c r="J229" s="12" t="str">
        <f aca="false">IF(N(D229)=0,"",IF(N(E229)&gt;0.5,IF(I229="Y","REMOVE NOW: target at risk","REMOVE NOW"),IF(N(E229)&gt;=0.3,"GRAY ZONE: assess structure",IF(G229="High","TREAT",IF(F229="Y","REMOVE AND REPLACE","PLANT FIRST, REMOVE LATER")))))</f>
        <v/>
      </c>
      <c r="K229" s="12" t="str">
        <f aca="false">IF(N(D229)=0,"",IF(J229="TREAT","Successor if space: ","")&amp;IF(H229="Wet","Quercus bicolor or Malus fusca",IF(H229="Riparian","Natives only: Malus fusca, Salix, Q. garryana on edges",IF(H229="Upland","Quercus garryana or Q. macrocarpa","Set site type"))))</f>
        <v/>
      </c>
      <c r="L229" s="54" t="str">
        <f aca="false">IF(N(D229)=0,"",D229*'Ash EAB'!$B$11)</f>
        <v/>
      </c>
      <c r="M229" s="54" t="str">
        <f aca="false">IF(N(D229)=0,"",L229*ROUNDUP('Ash EAB'!$B$17/'Ash EAB'!$B$12,0))</f>
        <v/>
      </c>
      <c r="N229" s="54" t="str">
        <f aca="false">IF(N(D229)=0,"",D229*'Ash EAB'!$B$13+'Ash EAB'!$B$15)</f>
        <v/>
      </c>
      <c r="O229" s="54" t="str">
        <f aca="false">IF(N(D229)=0,"",D229*'Ash EAB'!$B$13*'Ash EAB'!$B$14+'Ash EAB'!$B$15)</f>
        <v/>
      </c>
      <c r="P229" s="47" t="str">
        <f aca="false">IF(N(D229)=0,"",IF(M229&lt;N229,"Treat","Replace"))</f>
        <v/>
      </c>
      <c r="Q229" s="43"/>
      <c r="R229" s="37"/>
      <c r="S229" s="37" t="str">
        <f aca="false">IF(R229="","",EDATE(R229,ROUND('Ash EAB'!$B$12*12,0)))</f>
        <v/>
      </c>
      <c r="T229" s="47"/>
      <c r="U229" s="12"/>
    </row>
    <row r="230" customFormat="false" ht="15" hidden="false" customHeight="true" outlineLevel="0" collapsed="false">
      <c r="A230" s="43"/>
      <c r="B230" s="81"/>
      <c r="C230" s="12"/>
      <c r="D230" s="42"/>
      <c r="E230" s="85"/>
      <c r="F230" s="47"/>
      <c r="G230" s="47"/>
      <c r="H230" s="47"/>
      <c r="I230" s="47"/>
      <c r="J230" s="12" t="str">
        <f aca="false">IF(N(D230)=0,"",IF(N(E230)&gt;0.5,IF(I230="Y","REMOVE NOW: target at risk","REMOVE NOW"),IF(N(E230)&gt;=0.3,"GRAY ZONE: assess structure",IF(G230="High","TREAT",IF(F230="Y","REMOVE AND REPLACE","PLANT FIRST, REMOVE LATER")))))</f>
        <v/>
      </c>
      <c r="K230" s="12" t="str">
        <f aca="false">IF(N(D230)=0,"",IF(J230="TREAT","Successor if space: ","")&amp;IF(H230="Wet","Quercus bicolor or Malus fusca",IF(H230="Riparian","Natives only: Malus fusca, Salix, Q. garryana on edges",IF(H230="Upland","Quercus garryana or Q. macrocarpa","Set site type"))))</f>
        <v/>
      </c>
      <c r="L230" s="54" t="str">
        <f aca="false">IF(N(D230)=0,"",D230*'Ash EAB'!$B$11)</f>
        <v/>
      </c>
      <c r="M230" s="54" t="str">
        <f aca="false">IF(N(D230)=0,"",L230*ROUNDUP('Ash EAB'!$B$17/'Ash EAB'!$B$12,0))</f>
        <v/>
      </c>
      <c r="N230" s="54" t="str">
        <f aca="false">IF(N(D230)=0,"",D230*'Ash EAB'!$B$13+'Ash EAB'!$B$15)</f>
        <v/>
      </c>
      <c r="O230" s="54" t="str">
        <f aca="false">IF(N(D230)=0,"",D230*'Ash EAB'!$B$13*'Ash EAB'!$B$14+'Ash EAB'!$B$15)</f>
        <v/>
      </c>
      <c r="P230" s="47" t="str">
        <f aca="false">IF(N(D230)=0,"",IF(M230&lt;N230,"Treat","Replace"))</f>
        <v/>
      </c>
      <c r="Q230" s="43"/>
      <c r="R230" s="37"/>
      <c r="S230" s="37" t="str">
        <f aca="false">IF(R230="","",EDATE(R230,ROUND('Ash EAB'!$B$12*12,0)))</f>
        <v/>
      </c>
      <c r="T230" s="47"/>
      <c r="U230" s="12"/>
    </row>
    <row r="231" customFormat="false" ht="15" hidden="false" customHeight="true" outlineLevel="0" collapsed="false">
      <c r="A231" s="43"/>
      <c r="B231" s="81"/>
      <c r="C231" s="12"/>
      <c r="D231" s="42"/>
      <c r="E231" s="85"/>
      <c r="F231" s="47"/>
      <c r="G231" s="47"/>
      <c r="H231" s="47"/>
      <c r="I231" s="47"/>
      <c r="J231" s="12" t="str">
        <f aca="false">IF(N(D231)=0,"",IF(N(E231)&gt;0.5,IF(I231="Y","REMOVE NOW: target at risk","REMOVE NOW"),IF(N(E231)&gt;=0.3,"GRAY ZONE: assess structure",IF(G231="High","TREAT",IF(F231="Y","REMOVE AND REPLACE","PLANT FIRST, REMOVE LATER")))))</f>
        <v/>
      </c>
      <c r="K231" s="12" t="str">
        <f aca="false">IF(N(D231)=0,"",IF(J231="TREAT","Successor if space: ","")&amp;IF(H231="Wet","Quercus bicolor or Malus fusca",IF(H231="Riparian","Natives only: Malus fusca, Salix, Q. garryana on edges",IF(H231="Upland","Quercus garryana or Q. macrocarpa","Set site type"))))</f>
        <v/>
      </c>
      <c r="L231" s="54" t="str">
        <f aca="false">IF(N(D231)=0,"",D231*'Ash EAB'!$B$11)</f>
        <v/>
      </c>
      <c r="M231" s="54" t="str">
        <f aca="false">IF(N(D231)=0,"",L231*ROUNDUP('Ash EAB'!$B$17/'Ash EAB'!$B$12,0))</f>
        <v/>
      </c>
      <c r="N231" s="54" t="str">
        <f aca="false">IF(N(D231)=0,"",D231*'Ash EAB'!$B$13+'Ash EAB'!$B$15)</f>
        <v/>
      </c>
      <c r="O231" s="54" t="str">
        <f aca="false">IF(N(D231)=0,"",D231*'Ash EAB'!$B$13*'Ash EAB'!$B$14+'Ash EAB'!$B$15)</f>
        <v/>
      </c>
      <c r="P231" s="47" t="str">
        <f aca="false">IF(N(D231)=0,"",IF(M231&lt;N231,"Treat","Replace"))</f>
        <v/>
      </c>
      <c r="Q231" s="43"/>
      <c r="R231" s="37"/>
      <c r="S231" s="37" t="str">
        <f aca="false">IF(R231="","",EDATE(R231,ROUND('Ash EAB'!$B$12*12,0)))</f>
        <v/>
      </c>
      <c r="T231" s="47"/>
      <c r="U231" s="12"/>
    </row>
    <row r="232" customFormat="false" ht="15" hidden="false" customHeight="true" outlineLevel="0" collapsed="false">
      <c r="A232" s="43"/>
      <c r="B232" s="81"/>
      <c r="C232" s="12"/>
      <c r="D232" s="42"/>
      <c r="E232" s="85"/>
      <c r="F232" s="47"/>
      <c r="G232" s="47"/>
      <c r="H232" s="47"/>
      <c r="I232" s="47"/>
      <c r="J232" s="12" t="str">
        <f aca="false">IF(N(D232)=0,"",IF(N(E232)&gt;0.5,IF(I232="Y","REMOVE NOW: target at risk","REMOVE NOW"),IF(N(E232)&gt;=0.3,"GRAY ZONE: assess structure",IF(G232="High","TREAT",IF(F232="Y","REMOVE AND REPLACE","PLANT FIRST, REMOVE LATER")))))</f>
        <v/>
      </c>
      <c r="K232" s="12" t="str">
        <f aca="false">IF(N(D232)=0,"",IF(J232="TREAT","Successor if space: ","")&amp;IF(H232="Wet","Quercus bicolor or Malus fusca",IF(H232="Riparian","Natives only: Malus fusca, Salix, Q. garryana on edges",IF(H232="Upland","Quercus garryana or Q. macrocarpa","Set site type"))))</f>
        <v/>
      </c>
      <c r="L232" s="54" t="str">
        <f aca="false">IF(N(D232)=0,"",D232*'Ash EAB'!$B$11)</f>
        <v/>
      </c>
      <c r="M232" s="54" t="str">
        <f aca="false">IF(N(D232)=0,"",L232*ROUNDUP('Ash EAB'!$B$17/'Ash EAB'!$B$12,0))</f>
        <v/>
      </c>
      <c r="N232" s="54" t="str">
        <f aca="false">IF(N(D232)=0,"",D232*'Ash EAB'!$B$13+'Ash EAB'!$B$15)</f>
        <v/>
      </c>
      <c r="O232" s="54" t="str">
        <f aca="false">IF(N(D232)=0,"",D232*'Ash EAB'!$B$13*'Ash EAB'!$B$14+'Ash EAB'!$B$15)</f>
        <v/>
      </c>
      <c r="P232" s="47" t="str">
        <f aca="false">IF(N(D232)=0,"",IF(M232&lt;N232,"Treat","Replace"))</f>
        <v/>
      </c>
      <c r="Q232" s="43"/>
      <c r="R232" s="37"/>
      <c r="S232" s="37" t="str">
        <f aca="false">IF(R232="","",EDATE(R232,ROUND('Ash EAB'!$B$12*12,0)))</f>
        <v/>
      </c>
      <c r="T232" s="47"/>
      <c r="U232" s="12"/>
    </row>
    <row r="233" customFormat="false" ht="15" hidden="false" customHeight="true" outlineLevel="0" collapsed="false">
      <c r="A233" s="43"/>
      <c r="B233" s="81"/>
      <c r="C233" s="12"/>
      <c r="D233" s="42"/>
      <c r="E233" s="85"/>
      <c r="F233" s="47"/>
      <c r="G233" s="47"/>
      <c r="H233" s="47"/>
      <c r="I233" s="47"/>
      <c r="J233" s="12" t="str">
        <f aca="false">IF(N(D233)=0,"",IF(N(E233)&gt;0.5,IF(I233="Y","REMOVE NOW: target at risk","REMOVE NOW"),IF(N(E233)&gt;=0.3,"GRAY ZONE: assess structure",IF(G233="High","TREAT",IF(F233="Y","REMOVE AND REPLACE","PLANT FIRST, REMOVE LATER")))))</f>
        <v/>
      </c>
      <c r="K233" s="12" t="str">
        <f aca="false">IF(N(D233)=0,"",IF(J233="TREAT","Successor if space: ","")&amp;IF(H233="Wet","Quercus bicolor or Malus fusca",IF(H233="Riparian","Natives only: Malus fusca, Salix, Q. garryana on edges",IF(H233="Upland","Quercus garryana or Q. macrocarpa","Set site type"))))</f>
        <v/>
      </c>
      <c r="L233" s="54" t="str">
        <f aca="false">IF(N(D233)=0,"",D233*'Ash EAB'!$B$11)</f>
        <v/>
      </c>
      <c r="M233" s="54" t="str">
        <f aca="false">IF(N(D233)=0,"",L233*ROUNDUP('Ash EAB'!$B$17/'Ash EAB'!$B$12,0))</f>
        <v/>
      </c>
      <c r="N233" s="54" t="str">
        <f aca="false">IF(N(D233)=0,"",D233*'Ash EAB'!$B$13+'Ash EAB'!$B$15)</f>
        <v/>
      </c>
      <c r="O233" s="54" t="str">
        <f aca="false">IF(N(D233)=0,"",D233*'Ash EAB'!$B$13*'Ash EAB'!$B$14+'Ash EAB'!$B$15)</f>
        <v/>
      </c>
      <c r="P233" s="47" t="str">
        <f aca="false">IF(N(D233)=0,"",IF(M233&lt;N233,"Treat","Replace"))</f>
        <v/>
      </c>
      <c r="Q233" s="43"/>
      <c r="R233" s="37"/>
      <c r="S233" s="37" t="str">
        <f aca="false">IF(R233="","",EDATE(R233,ROUND('Ash EAB'!$B$12*12,0)))</f>
        <v/>
      </c>
      <c r="T233" s="47"/>
      <c r="U233" s="12"/>
    </row>
    <row r="234" customFormat="false" ht="15" hidden="false" customHeight="true" outlineLevel="0" collapsed="false">
      <c r="A234" s="43"/>
      <c r="B234" s="81"/>
      <c r="C234" s="12"/>
      <c r="D234" s="42"/>
      <c r="E234" s="85"/>
      <c r="F234" s="47"/>
      <c r="G234" s="47"/>
      <c r="H234" s="47"/>
      <c r="I234" s="47"/>
      <c r="J234" s="12" t="str">
        <f aca="false">IF(N(D234)=0,"",IF(N(E234)&gt;0.5,IF(I234="Y","REMOVE NOW: target at risk","REMOVE NOW"),IF(N(E234)&gt;=0.3,"GRAY ZONE: assess structure",IF(G234="High","TREAT",IF(F234="Y","REMOVE AND REPLACE","PLANT FIRST, REMOVE LATER")))))</f>
        <v/>
      </c>
      <c r="K234" s="12" t="str">
        <f aca="false">IF(N(D234)=0,"",IF(J234="TREAT","Successor if space: ","")&amp;IF(H234="Wet","Quercus bicolor or Malus fusca",IF(H234="Riparian","Natives only: Malus fusca, Salix, Q. garryana on edges",IF(H234="Upland","Quercus garryana or Q. macrocarpa","Set site type"))))</f>
        <v/>
      </c>
      <c r="L234" s="54" t="str">
        <f aca="false">IF(N(D234)=0,"",D234*'Ash EAB'!$B$11)</f>
        <v/>
      </c>
      <c r="M234" s="54" t="str">
        <f aca="false">IF(N(D234)=0,"",L234*ROUNDUP('Ash EAB'!$B$17/'Ash EAB'!$B$12,0))</f>
        <v/>
      </c>
      <c r="N234" s="54" t="str">
        <f aca="false">IF(N(D234)=0,"",D234*'Ash EAB'!$B$13+'Ash EAB'!$B$15)</f>
        <v/>
      </c>
      <c r="O234" s="54" t="str">
        <f aca="false">IF(N(D234)=0,"",D234*'Ash EAB'!$B$13*'Ash EAB'!$B$14+'Ash EAB'!$B$15)</f>
        <v/>
      </c>
      <c r="P234" s="47" t="str">
        <f aca="false">IF(N(D234)=0,"",IF(M234&lt;N234,"Treat","Replace"))</f>
        <v/>
      </c>
      <c r="Q234" s="43"/>
      <c r="R234" s="37"/>
      <c r="S234" s="37" t="str">
        <f aca="false">IF(R234="","",EDATE(R234,ROUND('Ash EAB'!$B$12*12,0)))</f>
        <v/>
      </c>
      <c r="T234" s="47"/>
      <c r="U234" s="12"/>
    </row>
    <row r="235" customFormat="false" ht="15" hidden="false" customHeight="true" outlineLevel="0" collapsed="false">
      <c r="A235" s="43"/>
      <c r="B235" s="81"/>
      <c r="C235" s="12"/>
      <c r="D235" s="42"/>
      <c r="E235" s="85"/>
      <c r="F235" s="47"/>
      <c r="G235" s="47"/>
      <c r="H235" s="47"/>
      <c r="I235" s="47"/>
      <c r="J235" s="12" t="str">
        <f aca="false">IF(N(D235)=0,"",IF(N(E235)&gt;0.5,IF(I235="Y","REMOVE NOW: target at risk","REMOVE NOW"),IF(N(E235)&gt;=0.3,"GRAY ZONE: assess structure",IF(G235="High","TREAT",IF(F235="Y","REMOVE AND REPLACE","PLANT FIRST, REMOVE LATER")))))</f>
        <v/>
      </c>
      <c r="K235" s="12" t="str">
        <f aca="false">IF(N(D235)=0,"",IF(J235="TREAT","Successor if space: ","")&amp;IF(H235="Wet","Quercus bicolor or Malus fusca",IF(H235="Riparian","Natives only: Malus fusca, Salix, Q. garryana on edges",IF(H235="Upland","Quercus garryana or Q. macrocarpa","Set site type"))))</f>
        <v/>
      </c>
      <c r="L235" s="54" t="str">
        <f aca="false">IF(N(D235)=0,"",D235*'Ash EAB'!$B$11)</f>
        <v/>
      </c>
      <c r="M235" s="54" t="str">
        <f aca="false">IF(N(D235)=0,"",L235*ROUNDUP('Ash EAB'!$B$17/'Ash EAB'!$B$12,0))</f>
        <v/>
      </c>
      <c r="N235" s="54" t="str">
        <f aca="false">IF(N(D235)=0,"",D235*'Ash EAB'!$B$13+'Ash EAB'!$B$15)</f>
        <v/>
      </c>
      <c r="O235" s="54" t="str">
        <f aca="false">IF(N(D235)=0,"",D235*'Ash EAB'!$B$13*'Ash EAB'!$B$14+'Ash EAB'!$B$15)</f>
        <v/>
      </c>
      <c r="P235" s="47" t="str">
        <f aca="false">IF(N(D235)=0,"",IF(M235&lt;N235,"Treat","Replace"))</f>
        <v/>
      </c>
      <c r="Q235" s="43"/>
      <c r="R235" s="37"/>
      <c r="S235" s="37" t="str">
        <f aca="false">IF(R235="","",EDATE(R235,ROUND('Ash EAB'!$B$12*12,0)))</f>
        <v/>
      </c>
      <c r="T235" s="47"/>
      <c r="U235" s="12"/>
    </row>
    <row r="236" customFormat="false" ht="15" hidden="false" customHeight="true" outlineLevel="0" collapsed="false">
      <c r="A236" s="43"/>
      <c r="B236" s="81"/>
      <c r="C236" s="12"/>
      <c r="D236" s="42"/>
      <c r="E236" s="85"/>
      <c r="F236" s="47"/>
      <c r="G236" s="47"/>
      <c r="H236" s="47"/>
      <c r="I236" s="47"/>
      <c r="J236" s="12" t="str">
        <f aca="false">IF(N(D236)=0,"",IF(N(E236)&gt;0.5,IF(I236="Y","REMOVE NOW: target at risk","REMOVE NOW"),IF(N(E236)&gt;=0.3,"GRAY ZONE: assess structure",IF(G236="High","TREAT",IF(F236="Y","REMOVE AND REPLACE","PLANT FIRST, REMOVE LATER")))))</f>
        <v/>
      </c>
      <c r="K236" s="12" t="str">
        <f aca="false">IF(N(D236)=0,"",IF(J236="TREAT","Successor if space: ","")&amp;IF(H236="Wet","Quercus bicolor or Malus fusca",IF(H236="Riparian","Natives only: Malus fusca, Salix, Q. garryana on edges",IF(H236="Upland","Quercus garryana or Q. macrocarpa","Set site type"))))</f>
        <v/>
      </c>
      <c r="L236" s="54" t="str">
        <f aca="false">IF(N(D236)=0,"",D236*'Ash EAB'!$B$11)</f>
        <v/>
      </c>
      <c r="M236" s="54" t="str">
        <f aca="false">IF(N(D236)=0,"",L236*ROUNDUP('Ash EAB'!$B$17/'Ash EAB'!$B$12,0))</f>
        <v/>
      </c>
      <c r="N236" s="54" t="str">
        <f aca="false">IF(N(D236)=0,"",D236*'Ash EAB'!$B$13+'Ash EAB'!$B$15)</f>
        <v/>
      </c>
      <c r="O236" s="54" t="str">
        <f aca="false">IF(N(D236)=0,"",D236*'Ash EAB'!$B$13*'Ash EAB'!$B$14+'Ash EAB'!$B$15)</f>
        <v/>
      </c>
      <c r="P236" s="47" t="str">
        <f aca="false">IF(N(D236)=0,"",IF(M236&lt;N236,"Treat","Replace"))</f>
        <v/>
      </c>
      <c r="Q236" s="43"/>
      <c r="R236" s="37"/>
      <c r="S236" s="37" t="str">
        <f aca="false">IF(R236="","",EDATE(R236,ROUND('Ash EAB'!$B$12*12,0)))</f>
        <v/>
      </c>
      <c r="T236" s="47"/>
      <c r="U236" s="12"/>
    </row>
    <row r="237" customFormat="false" ht="15" hidden="false" customHeight="true" outlineLevel="0" collapsed="false">
      <c r="A237" s="43"/>
      <c r="B237" s="81"/>
      <c r="C237" s="12"/>
      <c r="D237" s="42"/>
      <c r="E237" s="85"/>
      <c r="F237" s="47"/>
      <c r="G237" s="47"/>
      <c r="H237" s="47"/>
      <c r="I237" s="47"/>
      <c r="J237" s="12" t="str">
        <f aca="false">IF(N(D237)=0,"",IF(N(E237)&gt;0.5,IF(I237="Y","REMOVE NOW: target at risk","REMOVE NOW"),IF(N(E237)&gt;=0.3,"GRAY ZONE: assess structure",IF(G237="High","TREAT",IF(F237="Y","REMOVE AND REPLACE","PLANT FIRST, REMOVE LATER")))))</f>
        <v/>
      </c>
      <c r="K237" s="12" t="str">
        <f aca="false">IF(N(D237)=0,"",IF(J237="TREAT","Successor if space: ","")&amp;IF(H237="Wet","Quercus bicolor or Malus fusca",IF(H237="Riparian","Natives only: Malus fusca, Salix, Q. garryana on edges",IF(H237="Upland","Quercus garryana or Q. macrocarpa","Set site type"))))</f>
        <v/>
      </c>
      <c r="L237" s="54" t="str">
        <f aca="false">IF(N(D237)=0,"",D237*'Ash EAB'!$B$11)</f>
        <v/>
      </c>
      <c r="M237" s="54" t="str">
        <f aca="false">IF(N(D237)=0,"",L237*ROUNDUP('Ash EAB'!$B$17/'Ash EAB'!$B$12,0))</f>
        <v/>
      </c>
      <c r="N237" s="54" t="str">
        <f aca="false">IF(N(D237)=0,"",D237*'Ash EAB'!$B$13+'Ash EAB'!$B$15)</f>
        <v/>
      </c>
      <c r="O237" s="54" t="str">
        <f aca="false">IF(N(D237)=0,"",D237*'Ash EAB'!$B$13*'Ash EAB'!$B$14+'Ash EAB'!$B$15)</f>
        <v/>
      </c>
      <c r="P237" s="47" t="str">
        <f aca="false">IF(N(D237)=0,"",IF(M237&lt;N237,"Treat","Replace"))</f>
        <v/>
      </c>
      <c r="Q237" s="43"/>
      <c r="R237" s="37"/>
      <c r="S237" s="37" t="str">
        <f aca="false">IF(R237="","",EDATE(R237,ROUND('Ash EAB'!$B$12*12,0)))</f>
        <v/>
      </c>
      <c r="T237" s="47"/>
      <c r="U237" s="12"/>
    </row>
    <row r="238" customFormat="false" ht="15" hidden="false" customHeight="true" outlineLevel="0" collapsed="false">
      <c r="A238" s="43"/>
      <c r="B238" s="81"/>
      <c r="C238" s="12"/>
      <c r="D238" s="42"/>
      <c r="E238" s="85"/>
      <c r="F238" s="47"/>
      <c r="G238" s="47"/>
      <c r="H238" s="47"/>
      <c r="I238" s="47"/>
      <c r="J238" s="12" t="str">
        <f aca="false">IF(N(D238)=0,"",IF(N(E238)&gt;0.5,IF(I238="Y","REMOVE NOW: target at risk","REMOVE NOW"),IF(N(E238)&gt;=0.3,"GRAY ZONE: assess structure",IF(G238="High","TREAT",IF(F238="Y","REMOVE AND REPLACE","PLANT FIRST, REMOVE LATER")))))</f>
        <v/>
      </c>
      <c r="K238" s="12" t="str">
        <f aca="false">IF(N(D238)=0,"",IF(J238="TREAT","Successor if space: ","")&amp;IF(H238="Wet","Quercus bicolor or Malus fusca",IF(H238="Riparian","Natives only: Malus fusca, Salix, Q. garryana on edges",IF(H238="Upland","Quercus garryana or Q. macrocarpa","Set site type"))))</f>
        <v/>
      </c>
      <c r="L238" s="54" t="str">
        <f aca="false">IF(N(D238)=0,"",D238*'Ash EAB'!$B$11)</f>
        <v/>
      </c>
      <c r="M238" s="54" t="str">
        <f aca="false">IF(N(D238)=0,"",L238*ROUNDUP('Ash EAB'!$B$17/'Ash EAB'!$B$12,0))</f>
        <v/>
      </c>
      <c r="N238" s="54" t="str">
        <f aca="false">IF(N(D238)=0,"",D238*'Ash EAB'!$B$13+'Ash EAB'!$B$15)</f>
        <v/>
      </c>
      <c r="O238" s="54" t="str">
        <f aca="false">IF(N(D238)=0,"",D238*'Ash EAB'!$B$13*'Ash EAB'!$B$14+'Ash EAB'!$B$15)</f>
        <v/>
      </c>
      <c r="P238" s="47" t="str">
        <f aca="false">IF(N(D238)=0,"",IF(M238&lt;N238,"Treat","Replace"))</f>
        <v/>
      </c>
      <c r="Q238" s="43"/>
      <c r="R238" s="37"/>
      <c r="S238" s="37" t="str">
        <f aca="false">IF(R238="","",EDATE(R238,ROUND('Ash EAB'!$B$12*12,0)))</f>
        <v/>
      </c>
      <c r="T238" s="47"/>
      <c r="U238" s="12"/>
    </row>
    <row r="239" customFormat="false" ht="15" hidden="false" customHeight="true" outlineLevel="0" collapsed="false">
      <c r="A239" s="43"/>
      <c r="B239" s="81"/>
      <c r="C239" s="12"/>
      <c r="D239" s="42"/>
      <c r="E239" s="85"/>
      <c r="F239" s="47"/>
      <c r="G239" s="47"/>
      <c r="H239" s="47"/>
      <c r="I239" s="47"/>
      <c r="J239" s="12" t="str">
        <f aca="false">IF(N(D239)=0,"",IF(N(E239)&gt;0.5,IF(I239="Y","REMOVE NOW: target at risk","REMOVE NOW"),IF(N(E239)&gt;=0.3,"GRAY ZONE: assess structure",IF(G239="High","TREAT",IF(F239="Y","REMOVE AND REPLACE","PLANT FIRST, REMOVE LATER")))))</f>
        <v/>
      </c>
      <c r="K239" s="12" t="str">
        <f aca="false">IF(N(D239)=0,"",IF(J239="TREAT","Successor if space: ","")&amp;IF(H239="Wet","Quercus bicolor or Malus fusca",IF(H239="Riparian","Natives only: Malus fusca, Salix, Q. garryana on edges",IF(H239="Upland","Quercus garryana or Q. macrocarpa","Set site type"))))</f>
        <v/>
      </c>
      <c r="L239" s="54" t="str">
        <f aca="false">IF(N(D239)=0,"",D239*'Ash EAB'!$B$11)</f>
        <v/>
      </c>
      <c r="M239" s="54" t="str">
        <f aca="false">IF(N(D239)=0,"",L239*ROUNDUP('Ash EAB'!$B$17/'Ash EAB'!$B$12,0))</f>
        <v/>
      </c>
      <c r="N239" s="54" t="str">
        <f aca="false">IF(N(D239)=0,"",D239*'Ash EAB'!$B$13+'Ash EAB'!$B$15)</f>
        <v/>
      </c>
      <c r="O239" s="54" t="str">
        <f aca="false">IF(N(D239)=0,"",D239*'Ash EAB'!$B$13*'Ash EAB'!$B$14+'Ash EAB'!$B$15)</f>
        <v/>
      </c>
      <c r="P239" s="47" t="str">
        <f aca="false">IF(N(D239)=0,"",IF(M239&lt;N239,"Treat","Replace"))</f>
        <v/>
      </c>
      <c r="Q239" s="43"/>
      <c r="R239" s="37"/>
      <c r="S239" s="37" t="str">
        <f aca="false">IF(R239="","",EDATE(R239,ROUND('Ash EAB'!$B$12*12,0)))</f>
        <v/>
      </c>
      <c r="T239" s="47"/>
      <c r="U239" s="12"/>
    </row>
    <row r="240" customFormat="false" ht="15" hidden="false" customHeight="true" outlineLevel="0" collapsed="false">
      <c r="A240" s="43"/>
      <c r="B240" s="81"/>
      <c r="C240" s="12"/>
      <c r="D240" s="42"/>
      <c r="E240" s="85"/>
      <c r="F240" s="47"/>
      <c r="G240" s="47"/>
      <c r="H240" s="47"/>
      <c r="I240" s="47"/>
      <c r="J240" s="12" t="str">
        <f aca="false">IF(N(D240)=0,"",IF(N(E240)&gt;0.5,IF(I240="Y","REMOVE NOW: target at risk","REMOVE NOW"),IF(N(E240)&gt;=0.3,"GRAY ZONE: assess structure",IF(G240="High","TREAT",IF(F240="Y","REMOVE AND REPLACE","PLANT FIRST, REMOVE LATER")))))</f>
        <v/>
      </c>
      <c r="K240" s="12" t="str">
        <f aca="false">IF(N(D240)=0,"",IF(J240="TREAT","Successor if space: ","")&amp;IF(H240="Wet","Quercus bicolor or Malus fusca",IF(H240="Riparian","Natives only: Malus fusca, Salix, Q. garryana on edges",IF(H240="Upland","Quercus garryana or Q. macrocarpa","Set site type"))))</f>
        <v/>
      </c>
      <c r="L240" s="54" t="str">
        <f aca="false">IF(N(D240)=0,"",D240*'Ash EAB'!$B$11)</f>
        <v/>
      </c>
      <c r="M240" s="54" t="str">
        <f aca="false">IF(N(D240)=0,"",L240*ROUNDUP('Ash EAB'!$B$17/'Ash EAB'!$B$12,0))</f>
        <v/>
      </c>
      <c r="N240" s="54" t="str">
        <f aca="false">IF(N(D240)=0,"",D240*'Ash EAB'!$B$13+'Ash EAB'!$B$15)</f>
        <v/>
      </c>
      <c r="O240" s="54" t="str">
        <f aca="false">IF(N(D240)=0,"",D240*'Ash EAB'!$B$13*'Ash EAB'!$B$14+'Ash EAB'!$B$15)</f>
        <v/>
      </c>
      <c r="P240" s="47" t="str">
        <f aca="false">IF(N(D240)=0,"",IF(M240&lt;N240,"Treat","Replace"))</f>
        <v/>
      </c>
      <c r="Q240" s="43"/>
      <c r="R240" s="37"/>
      <c r="S240" s="37" t="str">
        <f aca="false">IF(R240="","",EDATE(R240,ROUND('Ash EAB'!$B$12*12,0)))</f>
        <v/>
      </c>
      <c r="T240" s="47"/>
      <c r="U240" s="12"/>
    </row>
    <row r="241" customFormat="false" ht="15" hidden="false" customHeight="true" outlineLevel="0" collapsed="false">
      <c r="A241" s="43"/>
      <c r="B241" s="81"/>
      <c r="C241" s="12"/>
      <c r="D241" s="42"/>
      <c r="E241" s="85"/>
      <c r="F241" s="47"/>
      <c r="G241" s="47"/>
      <c r="H241" s="47"/>
      <c r="I241" s="47"/>
      <c r="J241" s="12" t="str">
        <f aca="false">IF(N(D241)=0,"",IF(N(E241)&gt;0.5,IF(I241="Y","REMOVE NOW: target at risk","REMOVE NOW"),IF(N(E241)&gt;=0.3,"GRAY ZONE: assess structure",IF(G241="High","TREAT",IF(F241="Y","REMOVE AND REPLACE","PLANT FIRST, REMOVE LATER")))))</f>
        <v/>
      </c>
      <c r="K241" s="12" t="str">
        <f aca="false">IF(N(D241)=0,"",IF(J241="TREAT","Successor if space: ","")&amp;IF(H241="Wet","Quercus bicolor or Malus fusca",IF(H241="Riparian","Natives only: Malus fusca, Salix, Q. garryana on edges",IF(H241="Upland","Quercus garryana or Q. macrocarpa","Set site type"))))</f>
        <v/>
      </c>
      <c r="L241" s="54" t="str">
        <f aca="false">IF(N(D241)=0,"",D241*'Ash EAB'!$B$11)</f>
        <v/>
      </c>
      <c r="M241" s="54" t="str">
        <f aca="false">IF(N(D241)=0,"",L241*ROUNDUP('Ash EAB'!$B$17/'Ash EAB'!$B$12,0))</f>
        <v/>
      </c>
      <c r="N241" s="54" t="str">
        <f aca="false">IF(N(D241)=0,"",D241*'Ash EAB'!$B$13+'Ash EAB'!$B$15)</f>
        <v/>
      </c>
      <c r="O241" s="54" t="str">
        <f aca="false">IF(N(D241)=0,"",D241*'Ash EAB'!$B$13*'Ash EAB'!$B$14+'Ash EAB'!$B$15)</f>
        <v/>
      </c>
      <c r="P241" s="47" t="str">
        <f aca="false">IF(N(D241)=0,"",IF(M241&lt;N241,"Treat","Replace"))</f>
        <v/>
      </c>
      <c r="Q241" s="43"/>
      <c r="R241" s="37"/>
      <c r="S241" s="37" t="str">
        <f aca="false">IF(R241="","",EDATE(R241,ROUND('Ash EAB'!$B$12*12,0)))</f>
        <v/>
      </c>
      <c r="T241" s="47"/>
      <c r="U241" s="12"/>
    </row>
    <row r="242" customFormat="false" ht="15" hidden="false" customHeight="true" outlineLevel="0" collapsed="false">
      <c r="A242" s="43"/>
      <c r="B242" s="81"/>
      <c r="C242" s="12"/>
      <c r="D242" s="42"/>
      <c r="E242" s="85"/>
      <c r="F242" s="47"/>
      <c r="G242" s="47"/>
      <c r="H242" s="47"/>
      <c r="I242" s="47"/>
      <c r="J242" s="12" t="str">
        <f aca="false">IF(N(D242)=0,"",IF(N(E242)&gt;0.5,IF(I242="Y","REMOVE NOW: target at risk","REMOVE NOW"),IF(N(E242)&gt;=0.3,"GRAY ZONE: assess structure",IF(G242="High","TREAT",IF(F242="Y","REMOVE AND REPLACE","PLANT FIRST, REMOVE LATER")))))</f>
        <v/>
      </c>
      <c r="K242" s="12" t="str">
        <f aca="false">IF(N(D242)=0,"",IF(J242="TREAT","Successor if space: ","")&amp;IF(H242="Wet","Quercus bicolor or Malus fusca",IF(H242="Riparian","Natives only: Malus fusca, Salix, Q. garryana on edges",IF(H242="Upland","Quercus garryana or Q. macrocarpa","Set site type"))))</f>
        <v/>
      </c>
      <c r="L242" s="54" t="str">
        <f aca="false">IF(N(D242)=0,"",D242*'Ash EAB'!$B$11)</f>
        <v/>
      </c>
      <c r="M242" s="54" t="str">
        <f aca="false">IF(N(D242)=0,"",L242*ROUNDUP('Ash EAB'!$B$17/'Ash EAB'!$B$12,0))</f>
        <v/>
      </c>
      <c r="N242" s="54" t="str">
        <f aca="false">IF(N(D242)=0,"",D242*'Ash EAB'!$B$13+'Ash EAB'!$B$15)</f>
        <v/>
      </c>
      <c r="O242" s="54" t="str">
        <f aca="false">IF(N(D242)=0,"",D242*'Ash EAB'!$B$13*'Ash EAB'!$B$14+'Ash EAB'!$B$15)</f>
        <v/>
      </c>
      <c r="P242" s="47" t="str">
        <f aca="false">IF(N(D242)=0,"",IF(M242&lt;N242,"Treat","Replace"))</f>
        <v/>
      </c>
      <c r="Q242" s="43"/>
      <c r="R242" s="37"/>
      <c r="S242" s="37" t="str">
        <f aca="false">IF(R242="","",EDATE(R242,ROUND('Ash EAB'!$B$12*12,0)))</f>
        <v/>
      </c>
      <c r="T242" s="47"/>
      <c r="U242" s="12"/>
    </row>
    <row r="243" customFormat="false" ht="15" hidden="false" customHeight="true" outlineLevel="0" collapsed="false">
      <c r="A243" s="43"/>
      <c r="B243" s="81"/>
      <c r="C243" s="12"/>
      <c r="D243" s="42"/>
      <c r="E243" s="85"/>
      <c r="F243" s="47"/>
      <c r="G243" s="47"/>
      <c r="H243" s="47"/>
      <c r="I243" s="47"/>
      <c r="J243" s="12" t="str">
        <f aca="false">IF(N(D243)=0,"",IF(N(E243)&gt;0.5,IF(I243="Y","REMOVE NOW: target at risk","REMOVE NOW"),IF(N(E243)&gt;=0.3,"GRAY ZONE: assess structure",IF(G243="High","TREAT",IF(F243="Y","REMOVE AND REPLACE","PLANT FIRST, REMOVE LATER")))))</f>
        <v/>
      </c>
      <c r="K243" s="12" t="str">
        <f aca="false">IF(N(D243)=0,"",IF(J243="TREAT","Successor if space: ","")&amp;IF(H243="Wet","Quercus bicolor or Malus fusca",IF(H243="Riparian","Natives only: Malus fusca, Salix, Q. garryana on edges",IF(H243="Upland","Quercus garryana or Q. macrocarpa","Set site type"))))</f>
        <v/>
      </c>
      <c r="L243" s="54" t="str">
        <f aca="false">IF(N(D243)=0,"",D243*'Ash EAB'!$B$11)</f>
        <v/>
      </c>
      <c r="M243" s="54" t="str">
        <f aca="false">IF(N(D243)=0,"",L243*ROUNDUP('Ash EAB'!$B$17/'Ash EAB'!$B$12,0))</f>
        <v/>
      </c>
      <c r="N243" s="54" t="str">
        <f aca="false">IF(N(D243)=0,"",D243*'Ash EAB'!$B$13+'Ash EAB'!$B$15)</f>
        <v/>
      </c>
      <c r="O243" s="54" t="str">
        <f aca="false">IF(N(D243)=0,"",D243*'Ash EAB'!$B$13*'Ash EAB'!$B$14+'Ash EAB'!$B$15)</f>
        <v/>
      </c>
      <c r="P243" s="47" t="str">
        <f aca="false">IF(N(D243)=0,"",IF(M243&lt;N243,"Treat","Replace"))</f>
        <v/>
      </c>
      <c r="Q243" s="43"/>
      <c r="R243" s="37"/>
      <c r="S243" s="37" t="str">
        <f aca="false">IF(R243="","",EDATE(R243,ROUND('Ash EAB'!$B$12*12,0)))</f>
        <v/>
      </c>
      <c r="T243" s="47"/>
      <c r="U243" s="12"/>
    </row>
    <row r="244" customFormat="false" ht="15" hidden="false" customHeight="true" outlineLevel="0" collapsed="false">
      <c r="A244" s="43"/>
      <c r="B244" s="81"/>
      <c r="C244" s="12"/>
      <c r="D244" s="42"/>
      <c r="E244" s="85"/>
      <c r="F244" s="47"/>
      <c r="G244" s="47"/>
      <c r="H244" s="47"/>
      <c r="I244" s="47"/>
      <c r="J244" s="12" t="str">
        <f aca="false">IF(N(D244)=0,"",IF(N(E244)&gt;0.5,IF(I244="Y","REMOVE NOW: target at risk","REMOVE NOW"),IF(N(E244)&gt;=0.3,"GRAY ZONE: assess structure",IF(G244="High","TREAT",IF(F244="Y","REMOVE AND REPLACE","PLANT FIRST, REMOVE LATER")))))</f>
        <v/>
      </c>
      <c r="K244" s="12" t="str">
        <f aca="false">IF(N(D244)=0,"",IF(J244="TREAT","Successor if space: ","")&amp;IF(H244="Wet","Quercus bicolor or Malus fusca",IF(H244="Riparian","Natives only: Malus fusca, Salix, Q. garryana on edges",IF(H244="Upland","Quercus garryana or Q. macrocarpa","Set site type"))))</f>
        <v/>
      </c>
      <c r="L244" s="54" t="str">
        <f aca="false">IF(N(D244)=0,"",D244*'Ash EAB'!$B$11)</f>
        <v/>
      </c>
      <c r="M244" s="54" t="str">
        <f aca="false">IF(N(D244)=0,"",L244*ROUNDUP('Ash EAB'!$B$17/'Ash EAB'!$B$12,0))</f>
        <v/>
      </c>
      <c r="N244" s="54" t="str">
        <f aca="false">IF(N(D244)=0,"",D244*'Ash EAB'!$B$13+'Ash EAB'!$B$15)</f>
        <v/>
      </c>
      <c r="O244" s="54" t="str">
        <f aca="false">IF(N(D244)=0,"",D244*'Ash EAB'!$B$13*'Ash EAB'!$B$14+'Ash EAB'!$B$15)</f>
        <v/>
      </c>
      <c r="P244" s="47" t="str">
        <f aca="false">IF(N(D244)=0,"",IF(M244&lt;N244,"Treat","Replace"))</f>
        <v/>
      </c>
      <c r="Q244" s="43"/>
      <c r="R244" s="37"/>
      <c r="S244" s="37" t="str">
        <f aca="false">IF(R244="","",EDATE(R244,ROUND('Ash EAB'!$B$12*12,0)))</f>
        <v/>
      </c>
      <c r="T244" s="47"/>
      <c r="U244" s="12"/>
    </row>
    <row r="245" customFormat="false" ht="15" hidden="false" customHeight="true" outlineLevel="0" collapsed="false">
      <c r="A245" s="43"/>
      <c r="B245" s="81"/>
      <c r="C245" s="12"/>
      <c r="D245" s="42"/>
      <c r="E245" s="85"/>
      <c r="F245" s="47"/>
      <c r="G245" s="47"/>
      <c r="H245" s="47"/>
      <c r="I245" s="47"/>
      <c r="J245" s="12" t="str">
        <f aca="false">IF(N(D245)=0,"",IF(N(E245)&gt;0.5,IF(I245="Y","REMOVE NOW: target at risk","REMOVE NOW"),IF(N(E245)&gt;=0.3,"GRAY ZONE: assess structure",IF(G245="High","TREAT",IF(F245="Y","REMOVE AND REPLACE","PLANT FIRST, REMOVE LATER")))))</f>
        <v/>
      </c>
      <c r="K245" s="12" t="str">
        <f aca="false">IF(N(D245)=0,"",IF(J245="TREAT","Successor if space: ","")&amp;IF(H245="Wet","Quercus bicolor or Malus fusca",IF(H245="Riparian","Natives only: Malus fusca, Salix, Q. garryana on edges",IF(H245="Upland","Quercus garryana or Q. macrocarpa","Set site type"))))</f>
        <v/>
      </c>
      <c r="L245" s="54" t="str">
        <f aca="false">IF(N(D245)=0,"",D245*'Ash EAB'!$B$11)</f>
        <v/>
      </c>
      <c r="M245" s="54" t="str">
        <f aca="false">IF(N(D245)=0,"",L245*ROUNDUP('Ash EAB'!$B$17/'Ash EAB'!$B$12,0))</f>
        <v/>
      </c>
      <c r="N245" s="54" t="str">
        <f aca="false">IF(N(D245)=0,"",D245*'Ash EAB'!$B$13+'Ash EAB'!$B$15)</f>
        <v/>
      </c>
      <c r="O245" s="54" t="str">
        <f aca="false">IF(N(D245)=0,"",D245*'Ash EAB'!$B$13*'Ash EAB'!$B$14+'Ash EAB'!$B$15)</f>
        <v/>
      </c>
      <c r="P245" s="47" t="str">
        <f aca="false">IF(N(D245)=0,"",IF(M245&lt;N245,"Treat","Replace"))</f>
        <v/>
      </c>
      <c r="Q245" s="43"/>
      <c r="R245" s="37"/>
      <c r="S245" s="37" t="str">
        <f aca="false">IF(R245="","",EDATE(R245,ROUND('Ash EAB'!$B$12*12,0)))</f>
        <v/>
      </c>
      <c r="T245" s="47"/>
      <c r="U245" s="12"/>
    </row>
    <row r="246" customFormat="false" ht="15" hidden="false" customHeight="true" outlineLevel="0" collapsed="false">
      <c r="A246" s="43"/>
      <c r="B246" s="81"/>
      <c r="C246" s="12"/>
      <c r="D246" s="42"/>
      <c r="E246" s="85"/>
      <c r="F246" s="47"/>
      <c r="G246" s="47"/>
      <c r="H246" s="47"/>
      <c r="I246" s="47"/>
      <c r="J246" s="12" t="str">
        <f aca="false">IF(N(D246)=0,"",IF(N(E246)&gt;0.5,IF(I246="Y","REMOVE NOW: target at risk","REMOVE NOW"),IF(N(E246)&gt;=0.3,"GRAY ZONE: assess structure",IF(G246="High","TREAT",IF(F246="Y","REMOVE AND REPLACE","PLANT FIRST, REMOVE LATER")))))</f>
        <v/>
      </c>
      <c r="K246" s="12" t="str">
        <f aca="false">IF(N(D246)=0,"",IF(J246="TREAT","Successor if space: ","")&amp;IF(H246="Wet","Quercus bicolor or Malus fusca",IF(H246="Riparian","Natives only: Malus fusca, Salix, Q. garryana on edges",IF(H246="Upland","Quercus garryana or Q. macrocarpa","Set site type"))))</f>
        <v/>
      </c>
      <c r="L246" s="54" t="str">
        <f aca="false">IF(N(D246)=0,"",D246*'Ash EAB'!$B$11)</f>
        <v/>
      </c>
      <c r="M246" s="54" t="str">
        <f aca="false">IF(N(D246)=0,"",L246*ROUNDUP('Ash EAB'!$B$17/'Ash EAB'!$B$12,0))</f>
        <v/>
      </c>
      <c r="N246" s="54" t="str">
        <f aca="false">IF(N(D246)=0,"",D246*'Ash EAB'!$B$13+'Ash EAB'!$B$15)</f>
        <v/>
      </c>
      <c r="O246" s="54" t="str">
        <f aca="false">IF(N(D246)=0,"",D246*'Ash EAB'!$B$13*'Ash EAB'!$B$14+'Ash EAB'!$B$15)</f>
        <v/>
      </c>
      <c r="P246" s="47" t="str">
        <f aca="false">IF(N(D246)=0,"",IF(M246&lt;N246,"Treat","Replace"))</f>
        <v/>
      </c>
      <c r="Q246" s="43"/>
      <c r="R246" s="37"/>
      <c r="S246" s="37" t="str">
        <f aca="false">IF(R246="","",EDATE(R246,ROUND('Ash EAB'!$B$12*12,0)))</f>
        <v/>
      </c>
      <c r="T246" s="47"/>
      <c r="U246" s="12"/>
    </row>
    <row r="247" customFormat="false" ht="15" hidden="false" customHeight="true" outlineLevel="0" collapsed="false">
      <c r="A247" s="43"/>
      <c r="B247" s="81"/>
      <c r="C247" s="12"/>
      <c r="D247" s="42"/>
      <c r="E247" s="85"/>
      <c r="F247" s="47"/>
      <c r="G247" s="47"/>
      <c r="H247" s="47"/>
      <c r="I247" s="47"/>
      <c r="J247" s="12" t="str">
        <f aca="false">IF(N(D247)=0,"",IF(N(E247)&gt;0.5,IF(I247="Y","REMOVE NOW: target at risk","REMOVE NOW"),IF(N(E247)&gt;=0.3,"GRAY ZONE: assess structure",IF(G247="High","TREAT",IF(F247="Y","REMOVE AND REPLACE","PLANT FIRST, REMOVE LATER")))))</f>
        <v/>
      </c>
      <c r="K247" s="12" t="str">
        <f aca="false">IF(N(D247)=0,"",IF(J247="TREAT","Successor if space: ","")&amp;IF(H247="Wet","Quercus bicolor or Malus fusca",IF(H247="Riparian","Natives only: Malus fusca, Salix, Q. garryana on edges",IF(H247="Upland","Quercus garryana or Q. macrocarpa","Set site type"))))</f>
        <v/>
      </c>
      <c r="L247" s="54" t="str">
        <f aca="false">IF(N(D247)=0,"",D247*'Ash EAB'!$B$11)</f>
        <v/>
      </c>
      <c r="M247" s="54" t="str">
        <f aca="false">IF(N(D247)=0,"",L247*ROUNDUP('Ash EAB'!$B$17/'Ash EAB'!$B$12,0))</f>
        <v/>
      </c>
      <c r="N247" s="54" t="str">
        <f aca="false">IF(N(D247)=0,"",D247*'Ash EAB'!$B$13+'Ash EAB'!$B$15)</f>
        <v/>
      </c>
      <c r="O247" s="54" t="str">
        <f aca="false">IF(N(D247)=0,"",D247*'Ash EAB'!$B$13*'Ash EAB'!$B$14+'Ash EAB'!$B$15)</f>
        <v/>
      </c>
      <c r="P247" s="47" t="str">
        <f aca="false">IF(N(D247)=0,"",IF(M247&lt;N247,"Treat","Replace"))</f>
        <v/>
      </c>
      <c r="Q247" s="43"/>
      <c r="R247" s="37"/>
      <c r="S247" s="37" t="str">
        <f aca="false">IF(R247="","",EDATE(R247,ROUND('Ash EAB'!$B$12*12,0)))</f>
        <v/>
      </c>
      <c r="T247" s="47"/>
      <c r="U247" s="12"/>
    </row>
    <row r="248" customFormat="false" ht="15" hidden="false" customHeight="true" outlineLevel="0" collapsed="false">
      <c r="A248" s="43"/>
      <c r="B248" s="81"/>
      <c r="C248" s="12"/>
      <c r="D248" s="42"/>
      <c r="E248" s="85"/>
      <c r="F248" s="47"/>
      <c r="G248" s="47"/>
      <c r="H248" s="47"/>
      <c r="I248" s="47"/>
      <c r="J248" s="12" t="str">
        <f aca="false">IF(N(D248)=0,"",IF(N(E248)&gt;0.5,IF(I248="Y","REMOVE NOW: target at risk","REMOVE NOW"),IF(N(E248)&gt;=0.3,"GRAY ZONE: assess structure",IF(G248="High","TREAT",IF(F248="Y","REMOVE AND REPLACE","PLANT FIRST, REMOVE LATER")))))</f>
        <v/>
      </c>
      <c r="K248" s="12" t="str">
        <f aca="false">IF(N(D248)=0,"",IF(J248="TREAT","Successor if space: ","")&amp;IF(H248="Wet","Quercus bicolor or Malus fusca",IF(H248="Riparian","Natives only: Malus fusca, Salix, Q. garryana on edges",IF(H248="Upland","Quercus garryana or Q. macrocarpa","Set site type"))))</f>
        <v/>
      </c>
      <c r="L248" s="54" t="str">
        <f aca="false">IF(N(D248)=0,"",D248*'Ash EAB'!$B$11)</f>
        <v/>
      </c>
      <c r="M248" s="54" t="str">
        <f aca="false">IF(N(D248)=0,"",L248*ROUNDUP('Ash EAB'!$B$17/'Ash EAB'!$B$12,0))</f>
        <v/>
      </c>
      <c r="N248" s="54" t="str">
        <f aca="false">IF(N(D248)=0,"",D248*'Ash EAB'!$B$13+'Ash EAB'!$B$15)</f>
        <v/>
      </c>
      <c r="O248" s="54" t="str">
        <f aca="false">IF(N(D248)=0,"",D248*'Ash EAB'!$B$13*'Ash EAB'!$B$14+'Ash EAB'!$B$15)</f>
        <v/>
      </c>
      <c r="P248" s="47" t="str">
        <f aca="false">IF(N(D248)=0,"",IF(M248&lt;N248,"Treat","Replace"))</f>
        <v/>
      </c>
      <c r="Q248" s="43"/>
      <c r="R248" s="37"/>
      <c r="S248" s="37" t="str">
        <f aca="false">IF(R248="","",EDATE(R248,ROUND('Ash EAB'!$B$12*12,0)))</f>
        <v/>
      </c>
      <c r="T248" s="47"/>
      <c r="U248" s="12"/>
    </row>
    <row r="249" customFormat="false" ht="15" hidden="false" customHeight="true" outlineLevel="0" collapsed="false">
      <c r="A249" s="43"/>
      <c r="B249" s="81"/>
      <c r="C249" s="12"/>
      <c r="D249" s="42"/>
      <c r="E249" s="85"/>
      <c r="F249" s="47"/>
      <c r="G249" s="47"/>
      <c r="H249" s="47"/>
      <c r="I249" s="47"/>
      <c r="J249" s="12" t="str">
        <f aca="false">IF(N(D249)=0,"",IF(N(E249)&gt;0.5,IF(I249="Y","REMOVE NOW: target at risk","REMOVE NOW"),IF(N(E249)&gt;=0.3,"GRAY ZONE: assess structure",IF(G249="High","TREAT",IF(F249="Y","REMOVE AND REPLACE","PLANT FIRST, REMOVE LATER")))))</f>
        <v/>
      </c>
      <c r="K249" s="12" t="str">
        <f aca="false">IF(N(D249)=0,"",IF(J249="TREAT","Successor if space: ","")&amp;IF(H249="Wet","Quercus bicolor or Malus fusca",IF(H249="Riparian","Natives only: Malus fusca, Salix, Q. garryana on edges",IF(H249="Upland","Quercus garryana or Q. macrocarpa","Set site type"))))</f>
        <v/>
      </c>
      <c r="L249" s="54" t="str">
        <f aca="false">IF(N(D249)=0,"",D249*'Ash EAB'!$B$11)</f>
        <v/>
      </c>
      <c r="M249" s="54" t="str">
        <f aca="false">IF(N(D249)=0,"",L249*ROUNDUP('Ash EAB'!$B$17/'Ash EAB'!$B$12,0))</f>
        <v/>
      </c>
      <c r="N249" s="54" t="str">
        <f aca="false">IF(N(D249)=0,"",D249*'Ash EAB'!$B$13+'Ash EAB'!$B$15)</f>
        <v/>
      </c>
      <c r="O249" s="54" t="str">
        <f aca="false">IF(N(D249)=0,"",D249*'Ash EAB'!$B$13*'Ash EAB'!$B$14+'Ash EAB'!$B$15)</f>
        <v/>
      </c>
      <c r="P249" s="47" t="str">
        <f aca="false">IF(N(D249)=0,"",IF(M249&lt;N249,"Treat","Replace"))</f>
        <v/>
      </c>
      <c r="Q249" s="43"/>
      <c r="R249" s="37"/>
      <c r="S249" s="37" t="str">
        <f aca="false">IF(R249="","",EDATE(R249,ROUND('Ash EAB'!$B$12*12,0)))</f>
        <v/>
      </c>
      <c r="T249" s="47"/>
      <c r="U249" s="12"/>
    </row>
    <row r="250" customFormat="false" ht="15" hidden="false" customHeight="true" outlineLevel="0" collapsed="false">
      <c r="A250" s="43"/>
      <c r="B250" s="81"/>
      <c r="C250" s="12"/>
      <c r="D250" s="42"/>
      <c r="E250" s="85"/>
      <c r="F250" s="47"/>
      <c r="G250" s="47"/>
      <c r="H250" s="47"/>
      <c r="I250" s="47"/>
      <c r="J250" s="12" t="str">
        <f aca="false">IF(N(D250)=0,"",IF(N(E250)&gt;0.5,IF(I250="Y","REMOVE NOW: target at risk","REMOVE NOW"),IF(N(E250)&gt;=0.3,"GRAY ZONE: assess structure",IF(G250="High","TREAT",IF(F250="Y","REMOVE AND REPLACE","PLANT FIRST, REMOVE LATER")))))</f>
        <v/>
      </c>
      <c r="K250" s="12" t="str">
        <f aca="false">IF(N(D250)=0,"",IF(J250="TREAT","Successor if space: ","")&amp;IF(H250="Wet","Quercus bicolor or Malus fusca",IF(H250="Riparian","Natives only: Malus fusca, Salix, Q. garryana on edges",IF(H250="Upland","Quercus garryana or Q. macrocarpa","Set site type"))))</f>
        <v/>
      </c>
      <c r="L250" s="54" t="str">
        <f aca="false">IF(N(D250)=0,"",D250*'Ash EAB'!$B$11)</f>
        <v/>
      </c>
      <c r="M250" s="54" t="str">
        <f aca="false">IF(N(D250)=0,"",L250*ROUNDUP('Ash EAB'!$B$17/'Ash EAB'!$B$12,0))</f>
        <v/>
      </c>
      <c r="N250" s="54" t="str">
        <f aca="false">IF(N(D250)=0,"",D250*'Ash EAB'!$B$13+'Ash EAB'!$B$15)</f>
        <v/>
      </c>
      <c r="O250" s="54" t="str">
        <f aca="false">IF(N(D250)=0,"",D250*'Ash EAB'!$B$13*'Ash EAB'!$B$14+'Ash EAB'!$B$15)</f>
        <v/>
      </c>
      <c r="P250" s="47" t="str">
        <f aca="false">IF(N(D250)=0,"",IF(M250&lt;N250,"Treat","Replace"))</f>
        <v/>
      </c>
      <c r="Q250" s="43"/>
      <c r="R250" s="37"/>
      <c r="S250" s="37" t="str">
        <f aca="false">IF(R250="","",EDATE(R250,ROUND('Ash EAB'!$B$12*12,0)))</f>
        <v/>
      </c>
      <c r="T250" s="47"/>
      <c r="U250" s="12"/>
    </row>
    <row r="251" customFormat="false" ht="15" hidden="false" customHeight="true" outlineLevel="0" collapsed="false">
      <c r="A251" s="43"/>
      <c r="B251" s="81"/>
      <c r="C251" s="12"/>
      <c r="D251" s="42"/>
      <c r="E251" s="85"/>
      <c r="F251" s="47"/>
      <c r="G251" s="47"/>
      <c r="H251" s="47"/>
      <c r="I251" s="47"/>
      <c r="J251" s="12" t="str">
        <f aca="false">IF(N(D251)=0,"",IF(N(E251)&gt;0.5,IF(I251="Y","REMOVE NOW: target at risk","REMOVE NOW"),IF(N(E251)&gt;=0.3,"GRAY ZONE: assess structure",IF(G251="High","TREAT",IF(F251="Y","REMOVE AND REPLACE","PLANT FIRST, REMOVE LATER")))))</f>
        <v/>
      </c>
      <c r="K251" s="12" t="str">
        <f aca="false">IF(N(D251)=0,"",IF(J251="TREAT","Successor if space: ","")&amp;IF(H251="Wet","Quercus bicolor or Malus fusca",IF(H251="Riparian","Natives only: Malus fusca, Salix, Q. garryana on edges",IF(H251="Upland","Quercus garryana or Q. macrocarpa","Set site type"))))</f>
        <v/>
      </c>
      <c r="L251" s="54" t="str">
        <f aca="false">IF(N(D251)=0,"",D251*'Ash EAB'!$B$11)</f>
        <v/>
      </c>
      <c r="M251" s="54" t="str">
        <f aca="false">IF(N(D251)=0,"",L251*ROUNDUP('Ash EAB'!$B$17/'Ash EAB'!$B$12,0))</f>
        <v/>
      </c>
      <c r="N251" s="54" t="str">
        <f aca="false">IF(N(D251)=0,"",D251*'Ash EAB'!$B$13+'Ash EAB'!$B$15)</f>
        <v/>
      </c>
      <c r="O251" s="54" t="str">
        <f aca="false">IF(N(D251)=0,"",D251*'Ash EAB'!$B$13*'Ash EAB'!$B$14+'Ash EAB'!$B$15)</f>
        <v/>
      </c>
      <c r="P251" s="47" t="str">
        <f aca="false">IF(N(D251)=0,"",IF(M251&lt;N251,"Treat","Replace"))</f>
        <v/>
      </c>
      <c r="Q251" s="43"/>
      <c r="R251" s="37"/>
      <c r="S251" s="37" t="str">
        <f aca="false">IF(R251="","",EDATE(R251,ROUND('Ash EAB'!$B$12*12,0)))</f>
        <v/>
      </c>
      <c r="T251" s="47"/>
      <c r="U251" s="12"/>
    </row>
    <row r="252" customFormat="false" ht="15" hidden="false" customHeight="true" outlineLevel="0" collapsed="false">
      <c r="A252" s="43"/>
      <c r="B252" s="81"/>
      <c r="C252" s="12"/>
      <c r="D252" s="42"/>
      <c r="E252" s="85"/>
      <c r="F252" s="47"/>
      <c r="G252" s="47"/>
      <c r="H252" s="47"/>
      <c r="I252" s="47"/>
      <c r="J252" s="12" t="str">
        <f aca="false">IF(N(D252)=0,"",IF(N(E252)&gt;0.5,IF(I252="Y","REMOVE NOW: target at risk","REMOVE NOW"),IF(N(E252)&gt;=0.3,"GRAY ZONE: assess structure",IF(G252="High","TREAT",IF(F252="Y","REMOVE AND REPLACE","PLANT FIRST, REMOVE LATER")))))</f>
        <v/>
      </c>
      <c r="K252" s="12" t="str">
        <f aca="false">IF(N(D252)=0,"",IF(J252="TREAT","Successor if space: ","")&amp;IF(H252="Wet","Quercus bicolor or Malus fusca",IF(H252="Riparian","Natives only: Malus fusca, Salix, Q. garryana on edges",IF(H252="Upland","Quercus garryana or Q. macrocarpa","Set site type"))))</f>
        <v/>
      </c>
      <c r="L252" s="54" t="str">
        <f aca="false">IF(N(D252)=0,"",D252*'Ash EAB'!$B$11)</f>
        <v/>
      </c>
      <c r="M252" s="54" t="str">
        <f aca="false">IF(N(D252)=0,"",L252*ROUNDUP('Ash EAB'!$B$17/'Ash EAB'!$B$12,0))</f>
        <v/>
      </c>
      <c r="N252" s="54" t="str">
        <f aca="false">IF(N(D252)=0,"",D252*'Ash EAB'!$B$13+'Ash EAB'!$B$15)</f>
        <v/>
      </c>
      <c r="O252" s="54" t="str">
        <f aca="false">IF(N(D252)=0,"",D252*'Ash EAB'!$B$13*'Ash EAB'!$B$14+'Ash EAB'!$B$15)</f>
        <v/>
      </c>
      <c r="P252" s="47" t="str">
        <f aca="false">IF(N(D252)=0,"",IF(M252&lt;N252,"Treat","Replace"))</f>
        <v/>
      </c>
      <c r="Q252" s="43"/>
      <c r="R252" s="37"/>
      <c r="S252" s="37" t="str">
        <f aca="false">IF(R252="","",EDATE(R252,ROUND('Ash EAB'!$B$12*12,0)))</f>
        <v/>
      </c>
      <c r="T252" s="47"/>
      <c r="U252" s="12"/>
    </row>
    <row r="253" customFormat="false" ht="15" hidden="false" customHeight="true" outlineLevel="0" collapsed="false">
      <c r="A253" s="43"/>
      <c r="B253" s="81"/>
      <c r="C253" s="12"/>
      <c r="D253" s="42"/>
      <c r="E253" s="85"/>
      <c r="F253" s="47"/>
      <c r="G253" s="47"/>
      <c r="H253" s="47"/>
      <c r="I253" s="47"/>
      <c r="J253" s="12" t="str">
        <f aca="false">IF(N(D253)=0,"",IF(N(E253)&gt;0.5,IF(I253="Y","REMOVE NOW: target at risk","REMOVE NOW"),IF(N(E253)&gt;=0.3,"GRAY ZONE: assess structure",IF(G253="High","TREAT",IF(F253="Y","REMOVE AND REPLACE","PLANT FIRST, REMOVE LATER")))))</f>
        <v/>
      </c>
      <c r="K253" s="12" t="str">
        <f aca="false">IF(N(D253)=0,"",IF(J253="TREAT","Successor if space: ","")&amp;IF(H253="Wet","Quercus bicolor or Malus fusca",IF(H253="Riparian","Natives only: Malus fusca, Salix, Q. garryana on edges",IF(H253="Upland","Quercus garryana or Q. macrocarpa","Set site type"))))</f>
        <v/>
      </c>
      <c r="L253" s="54" t="str">
        <f aca="false">IF(N(D253)=0,"",D253*'Ash EAB'!$B$11)</f>
        <v/>
      </c>
      <c r="M253" s="54" t="str">
        <f aca="false">IF(N(D253)=0,"",L253*ROUNDUP('Ash EAB'!$B$17/'Ash EAB'!$B$12,0))</f>
        <v/>
      </c>
      <c r="N253" s="54" t="str">
        <f aca="false">IF(N(D253)=0,"",D253*'Ash EAB'!$B$13+'Ash EAB'!$B$15)</f>
        <v/>
      </c>
      <c r="O253" s="54" t="str">
        <f aca="false">IF(N(D253)=0,"",D253*'Ash EAB'!$B$13*'Ash EAB'!$B$14+'Ash EAB'!$B$15)</f>
        <v/>
      </c>
      <c r="P253" s="47" t="str">
        <f aca="false">IF(N(D253)=0,"",IF(M253&lt;N253,"Treat","Replace"))</f>
        <v/>
      </c>
      <c r="Q253" s="43"/>
      <c r="R253" s="37"/>
      <c r="S253" s="37" t="str">
        <f aca="false">IF(R253="","",EDATE(R253,ROUND('Ash EAB'!$B$12*12,0)))</f>
        <v/>
      </c>
      <c r="T253" s="47"/>
      <c r="U253" s="12"/>
    </row>
    <row r="254" customFormat="false" ht="15" hidden="false" customHeight="true" outlineLevel="0" collapsed="false">
      <c r="A254" s="43"/>
      <c r="B254" s="81"/>
      <c r="C254" s="12"/>
      <c r="D254" s="42"/>
      <c r="E254" s="85"/>
      <c r="F254" s="47"/>
      <c r="G254" s="47"/>
      <c r="H254" s="47"/>
      <c r="I254" s="47"/>
      <c r="J254" s="12" t="str">
        <f aca="false">IF(N(D254)=0,"",IF(N(E254)&gt;0.5,IF(I254="Y","REMOVE NOW: target at risk","REMOVE NOW"),IF(N(E254)&gt;=0.3,"GRAY ZONE: assess structure",IF(G254="High","TREAT",IF(F254="Y","REMOVE AND REPLACE","PLANT FIRST, REMOVE LATER")))))</f>
        <v/>
      </c>
      <c r="K254" s="12" t="str">
        <f aca="false">IF(N(D254)=0,"",IF(J254="TREAT","Successor if space: ","")&amp;IF(H254="Wet","Quercus bicolor or Malus fusca",IF(H254="Riparian","Natives only: Malus fusca, Salix, Q. garryana on edges",IF(H254="Upland","Quercus garryana or Q. macrocarpa","Set site type"))))</f>
        <v/>
      </c>
      <c r="L254" s="54" t="str">
        <f aca="false">IF(N(D254)=0,"",D254*'Ash EAB'!$B$11)</f>
        <v/>
      </c>
      <c r="M254" s="54" t="str">
        <f aca="false">IF(N(D254)=0,"",L254*ROUNDUP('Ash EAB'!$B$17/'Ash EAB'!$B$12,0))</f>
        <v/>
      </c>
      <c r="N254" s="54" t="str">
        <f aca="false">IF(N(D254)=0,"",D254*'Ash EAB'!$B$13+'Ash EAB'!$B$15)</f>
        <v/>
      </c>
      <c r="O254" s="54" t="str">
        <f aca="false">IF(N(D254)=0,"",D254*'Ash EAB'!$B$13*'Ash EAB'!$B$14+'Ash EAB'!$B$15)</f>
        <v/>
      </c>
      <c r="P254" s="47" t="str">
        <f aca="false">IF(N(D254)=0,"",IF(M254&lt;N254,"Treat","Replace"))</f>
        <v/>
      </c>
      <c r="Q254" s="43"/>
      <c r="R254" s="37"/>
      <c r="S254" s="37" t="str">
        <f aca="false">IF(R254="","",EDATE(R254,ROUND('Ash EAB'!$B$12*12,0)))</f>
        <v/>
      </c>
      <c r="T254" s="47"/>
      <c r="U254" s="12"/>
    </row>
    <row r="255" customFormat="false" ht="15" hidden="false" customHeight="true" outlineLevel="0" collapsed="false">
      <c r="A255" s="43"/>
      <c r="B255" s="81"/>
      <c r="C255" s="12"/>
      <c r="D255" s="42"/>
      <c r="E255" s="85"/>
      <c r="F255" s="47"/>
      <c r="G255" s="47"/>
      <c r="H255" s="47"/>
      <c r="I255" s="47"/>
      <c r="J255" s="12" t="str">
        <f aca="false">IF(N(D255)=0,"",IF(N(E255)&gt;0.5,IF(I255="Y","REMOVE NOW: target at risk","REMOVE NOW"),IF(N(E255)&gt;=0.3,"GRAY ZONE: assess structure",IF(G255="High","TREAT",IF(F255="Y","REMOVE AND REPLACE","PLANT FIRST, REMOVE LATER")))))</f>
        <v/>
      </c>
      <c r="K255" s="12" t="str">
        <f aca="false">IF(N(D255)=0,"",IF(J255="TREAT","Successor if space: ","")&amp;IF(H255="Wet","Quercus bicolor or Malus fusca",IF(H255="Riparian","Natives only: Malus fusca, Salix, Q. garryana on edges",IF(H255="Upland","Quercus garryana or Q. macrocarpa","Set site type"))))</f>
        <v/>
      </c>
      <c r="L255" s="54" t="str">
        <f aca="false">IF(N(D255)=0,"",D255*'Ash EAB'!$B$11)</f>
        <v/>
      </c>
      <c r="M255" s="54" t="str">
        <f aca="false">IF(N(D255)=0,"",L255*ROUNDUP('Ash EAB'!$B$17/'Ash EAB'!$B$12,0))</f>
        <v/>
      </c>
      <c r="N255" s="54" t="str">
        <f aca="false">IF(N(D255)=0,"",D255*'Ash EAB'!$B$13+'Ash EAB'!$B$15)</f>
        <v/>
      </c>
      <c r="O255" s="54" t="str">
        <f aca="false">IF(N(D255)=0,"",D255*'Ash EAB'!$B$13*'Ash EAB'!$B$14+'Ash EAB'!$B$15)</f>
        <v/>
      </c>
      <c r="P255" s="47" t="str">
        <f aca="false">IF(N(D255)=0,"",IF(M255&lt;N255,"Treat","Replace"))</f>
        <v/>
      </c>
      <c r="Q255" s="43"/>
      <c r="R255" s="37"/>
      <c r="S255" s="37" t="str">
        <f aca="false">IF(R255="","",EDATE(R255,ROUND('Ash EAB'!$B$12*12,0)))</f>
        <v/>
      </c>
      <c r="T255" s="47"/>
      <c r="U255" s="12"/>
    </row>
    <row r="256" customFormat="false" ht="15" hidden="false" customHeight="true" outlineLevel="0" collapsed="false">
      <c r="A256" s="43"/>
      <c r="B256" s="81"/>
      <c r="C256" s="12"/>
      <c r="D256" s="42"/>
      <c r="E256" s="85"/>
      <c r="F256" s="47"/>
      <c r="G256" s="47"/>
      <c r="H256" s="47"/>
      <c r="I256" s="47"/>
      <c r="J256" s="12" t="str">
        <f aca="false">IF(N(D256)=0,"",IF(N(E256)&gt;0.5,IF(I256="Y","REMOVE NOW: target at risk","REMOVE NOW"),IF(N(E256)&gt;=0.3,"GRAY ZONE: assess structure",IF(G256="High","TREAT",IF(F256="Y","REMOVE AND REPLACE","PLANT FIRST, REMOVE LATER")))))</f>
        <v/>
      </c>
      <c r="K256" s="12" t="str">
        <f aca="false">IF(N(D256)=0,"",IF(J256="TREAT","Successor if space: ","")&amp;IF(H256="Wet","Quercus bicolor or Malus fusca",IF(H256="Riparian","Natives only: Malus fusca, Salix, Q. garryana on edges",IF(H256="Upland","Quercus garryana or Q. macrocarpa","Set site type"))))</f>
        <v/>
      </c>
      <c r="L256" s="54" t="str">
        <f aca="false">IF(N(D256)=0,"",D256*'Ash EAB'!$B$11)</f>
        <v/>
      </c>
      <c r="M256" s="54" t="str">
        <f aca="false">IF(N(D256)=0,"",L256*ROUNDUP('Ash EAB'!$B$17/'Ash EAB'!$B$12,0))</f>
        <v/>
      </c>
      <c r="N256" s="54" t="str">
        <f aca="false">IF(N(D256)=0,"",D256*'Ash EAB'!$B$13+'Ash EAB'!$B$15)</f>
        <v/>
      </c>
      <c r="O256" s="54" t="str">
        <f aca="false">IF(N(D256)=0,"",D256*'Ash EAB'!$B$13*'Ash EAB'!$B$14+'Ash EAB'!$B$15)</f>
        <v/>
      </c>
      <c r="P256" s="47" t="str">
        <f aca="false">IF(N(D256)=0,"",IF(M256&lt;N256,"Treat","Replace"))</f>
        <v/>
      </c>
      <c r="Q256" s="43"/>
      <c r="R256" s="37"/>
      <c r="S256" s="37" t="str">
        <f aca="false">IF(R256="","",EDATE(R256,ROUND('Ash EAB'!$B$12*12,0)))</f>
        <v/>
      </c>
      <c r="T256" s="47"/>
      <c r="U256" s="12"/>
    </row>
    <row r="257" customFormat="false" ht="15" hidden="false" customHeight="true" outlineLevel="0" collapsed="false">
      <c r="A257" s="43"/>
      <c r="B257" s="81"/>
      <c r="C257" s="12"/>
      <c r="D257" s="42"/>
      <c r="E257" s="85"/>
      <c r="F257" s="47"/>
      <c r="G257" s="47"/>
      <c r="H257" s="47"/>
      <c r="I257" s="47"/>
      <c r="J257" s="12" t="str">
        <f aca="false">IF(N(D257)=0,"",IF(N(E257)&gt;0.5,IF(I257="Y","REMOVE NOW: target at risk","REMOVE NOW"),IF(N(E257)&gt;=0.3,"GRAY ZONE: assess structure",IF(G257="High","TREAT",IF(F257="Y","REMOVE AND REPLACE","PLANT FIRST, REMOVE LATER")))))</f>
        <v/>
      </c>
      <c r="K257" s="12" t="str">
        <f aca="false">IF(N(D257)=0,"",IF(J257="TREAT","Successor if space: ","")&amp;IF(H257="Wet","Quercus bicolor or Malus fusca",IF(H257="Riparian","Natives only: Malus fusca, Salix, Q. garryana on edges",IF(H257="Upland","Quercus garryana or Q. macrocarpa","Set site type"))))</f>
        <v/>
      </c>
      <c r="L257" s="54" t="str">
        <f aca="false">IF(N(D257)=0,"",D257*'Ash EAB'!$B$11)</f>
        <v/>
      </c>
      <c r="M257" s="54" t="str">
        <f aca="false">IF(N(D257)=0,"",L257*ROUNDUP('Ash EAB'!$B$17/'Ash EAB'!$B$12,0))</f>
        <v/>
      </c>
      <c r="N257" s="54" t="str">
        <f aca="false">IF(N(D257)=0,"",D257*'Ash EAB'!$B$13+'Ash EAB'!$B$15)</f>
        <v/>
      </c>
      <c r="O257" s="54" t="str">
        <f aca="false">IF(N(D257)=0,"",D257*'Ash EAB'!$B$13*'Ash EAB'!$B$14+'Ash EAB'!$B$15)</f>
        <v/>
      </c>
      <c r="P257" s="47" t="str">
        <f aca="false">IF(N(D257)=0,"",IF(M257&lt;N257,"Treat","Replace"))</f>
        <v/>
      </c>
      <c r="Q257" s="43"/>
      <c r="R257" s="37"/>
      <c r="S257" s="37" t="str">
        <f aca="false">IF(R257="","",EDATE(R257,ROUND('Ash EAB'!$B$12*12,0)))</f>
        <v/>
      </c>
      <c r="T257" s="47"/>
      <c r="U257" s="12"/>
    </row>
    <row r="258" customFormat="false" ht="15" hidden="false" customHeight="true" outlineLevel="0" collapsed="false">
      <c r="A258" s="43"/>
      <c r="B258" s="81"/>
      <c r="C258" s="12"/>
      <c r="D258" s="42"/>
      <c r="E258" s="85"/>
      <c r="F258" s="47"/>
      <c r="G258" s="47"/>
      <c r="H258" s="47"/>
      <c r="I258" s="47"/>
      <c r="J258" s="12" t="str">
        <f aca="false">IF(N(D258)=0,"",IF(N(E258)&gt;0.5,IF(I258="Y","REMOVE NOW: target at risk","REMOVE NOW"),IF(N(E258)&gt;=0.3,"GRAY ZONE: assess structure",IF(G258="High","TREAT",IF(F258="Y","REMOVE AND REPLACE","PLANT FIRST, REMOVE LATER")))))</f>
        <v/>
      </c>
      <c r="K258" s="12" t="str">
        <f aca="false">IF(N(D258)=0,"",IF(J258="TREAT","Successor if space: ","")&amp;IF(H258="Wet","Quercus bicolor or Malus fusca",IF(H258="Riparian","Natives only: Malus fusca, Salix, Q. garryana on edges",IF(H258="Upland","Quercus garryana or Q. macrocarpa","Set site type"))))</f>
        <v/>
      </c>
      <c r="L258" s="54" t="str">
        <f aca="false">IF(N(D258)=0,"",D258*'Ash EAB'!$B$11)</f>
        <v/>
      </c>
      <c r="M258" s="54" t="str">
        <f aca="false">IF(N(D258)=0,"",L258*ROUNDUP('Ash EAB'!$B$17/'Ash EAB'!$B$12,0))</f>
        <v/>
      </c>
      <c r="N258" s="54" t="str">
        <f aca="false">IF(N(D258)=0,"",D258*'Ash EAB'!$B$13+'Ash EAB'!$B$15)</f>
        <v/>
      </c>
      <c r="O258" s="54" t="str">
        <f aca="false">IF(N(D258)=0,"",D258*'Ash EAB'!$B$13*'Ash EAB'!$B$14+'Ash EAB'!$B$15)</f>
        <v/>
      </c>
      <c r="P258" s="47" t="str">
        <f aca="false">IF(N(D258)=0,"",IF(M258&lt;N258,"Treat","Replace"))</f>
        <v/>
      </c>
      <c r="Q258" s="43"/>
      <c r="R258" s="37"/>
      <c r="S258" s="37" t="str">
        <f aca="false">IF(R258="","",EDATE(R258,ROUND('Ash EAB'!$B$12*12,0)))</f>
        <v/>
      </c>
      <c r="T258" s="47"/>
      <c r="U258" s="12"/>
    </row>
    <row r="259" customFormat="false" ht="15" hidden="false" customHeight="true" outlineLevel="0" collapsed="false">
      <c r="A259" s="43"/>
      <c r="B259" s="81"/>
      <c r="C259" s="12"/>
      <c r="D259" s="42"/>
      <c r="E259" s="85"/>
      <c r="F259" s="47"/>
      <c r="G259" s="47"/>
      <c r="H259" s="47"/>
      <c r="I259" s="47"/>
      <c r="J259" s="12" t="str">
        <f aca="false">IF(N(D259)=0,"",IF(N(E259)&gt;0.5,IF(I259="Y","REMOVE NOW: target at risk","REMOVE NOW"),IF(N(E259)&gt;=0.3,"GRAY ZONE: assess structure",IF(G259="High","TREAT",IF(F259="Y","REMOVE AND REPLACE","PLANT FIRST, REMOVE LATER")))))</f>
        <v/>
      </c>
      <c r="K259" s="12" t="str">
        <f aca="false">IF(N(D259)=0,"",IF(J259="TREAT","Successor if space: ","")&amp;IF(H259="Wet","Quercus bicolor or Malus fusca",IF(H259="Riparian","Natives only: Malus fusca, Salix, Q. garryana on edges",IF(H259="Upland","Quercus garryana or Q. macrocarpa","Set site type"))))</f>
        <v/>
      </c>
      <c r="L259" s="54" t="str">
        <f aca="false">IF(N(D259)=0,"",D259*'Ash EAB'!$B$11)</f>
        <v/>
      </c>
      <c r="M259" s="54" t="str">
        <f aca="false">IF(N(D259)=0,"",L259*ROUNDUP('Ash EAB'!$B$17/'Ash EAB'!$B$12,0))</f>
        <v/>
      </c>
      <c r="N259" s="54" t="str">
        <f aca="false">IF(N(D259)=0,"",D259*'Ash EAB'!$B$13+'Ash EAB'!$B$15)</f>
        <v/>
      </c>
      <c r="O259" s="54" t="str">
        <f aca="false">IF(N(D259)=0,"",D259*'Ash EAB'!$B$13*'Ash EAB'!$B$14+'Ash EAB'!$B$15)</f>
        <v/>
      </c>
      <c r="P259" s="47" t="str">
        <f aca="false">IF(N(D259)=0,"",IF(M259&lt;N259,"Treat","Replace"))</f>
        <v/>
      </c>
      <c r="Q259" s="43"/>
      <c r="R259" s="37"/>
      <c r="S259" s="37" t="str">
        <f aca="false">IF(R259="","",EDATE(R259,ROUND('Ash EAB'!$B$12*12,0)))</f>
        <v/>
      </c>
      <c r="T259" s="47"/>
      <c r="U259" s="12"/>
    </row>
    <row r="260" customFormat="false" ht="15" hidden="false" customHeight="true" outlineLevel="0" collapsed="false">
      <c r="A260" s="43"/>
      <c r="B260" s="81"/>
      <c r="C260" s="12"/>
      <c r="D260" s="42"/>
      <c r="E260" s="85"/>
      <c r="F260" s="47"/>
      <c r="G260" s="47"/>
      <c r="H260" s="47"/>
      <c r="I260" s="47"/>
      <c r="J260" s="12" t="str">
        <f aca="false">IF(N(D260)=0,"",IF(N(E260)&gt;0.5,IF(I260="Y","REMOVE NOW: target at risk","REMOVE NOW"),IF(N(E260)&gt;=0.3,"GRAY ZONE: assess structure",IF(G260="High","TREAT",IF(F260="Y","REMOVE AND REPLACE","PLANT FIRST, REMOVE LATER")))))</f>
        <v/>
      </c>
      <c r="K260" s="12" t="str">
        <f aca="false">IF(N(D260)=0,"",IF(J260="TREAT","Successor if space: ","")&amp;IF(H260="Wet","Quercus bicolor or Malus fusca",IF(H260="Riparian","Natives only: Malus fusca, Salix, Q. garryana on edges",IF(H260="Upland","Quercus garryana or Q. macrocarpa","Set site type"))))</f>
        <v/>
      </c>
      <c r="L260" s="54" t="str">
        <f aca="false">IF(N(D260)=0,"",D260*'Ash EAB'!$B$11)</f>
        <v/>
      </c>
      <c r="M260" s="54" t="str">
        <f aca="false">IF(N(D260)=0,"",L260*ROUNDUP('Ash EAB'!$B$17/'Ash EAB'!$B$12,0))</f>
        <v/>
      </c>
      <c r="N260" s="54" t="str">
        <f aca="false">IF(N(D260)=0,"",D260*'Ash EAB'!$B$13+'Ash EAB'!$B$15)</f>
        <v/>
      </c>
      <c r="O260" s="54" t="str">
        <f aca="false">IF(N(D260)=0,"",D260*'Ash EAB'!$B$13*'Ash EAB'!$B$14+'Ash EAB'!$B$15)</f>
        <v/>
      </c>
      <c r="P260" s="47" t="str">
        <f aca="false">IF(N(D260)=0,"",IF(M260&lt;N260,"Treat","Replace"))</f>
        <v/>
      </c>
      <c r="Q260" s="43"/>
      <c r="R260" s="37"/>
      <c r="S260" s="37" t="str">
        <f aca="false">IF(R260="","",EDATE(R260,ROUND('Ash EAB'!$B$12*12,0)))</f>
        <v/>
      </c>
      <c r="T260" s="47"/>
      <c r="U260" s="12"/>
    </row>
    <row r="261" customFormat="false" ht="15" hidden="false" customHeight="true" outlineLevel="0" collapsed="false">
      <c r="A261" s="43"/>
      <c r="B261" s="81"/>
      <c r="C261" s="12"/>
      <c r="D261" s="42"/>
      <c r="E261" s="85"/>
      <c r="F261" s="47"/>
      <c r="G261" s="47"/>
      <c r="H261" s="47"/>
      <c r="I261" s="47"/>
      <c r="J261" s="12" t="str">
        <f aca="false">IF(N(D261)=0,"",IF(N(E261)&gt;0.5,IF(I261="Y","REMOVE NOW: target at risk","REMOVE NOW"),IF(N(E261)&gt;=0.3,"GRAY ZONE: assess structure",IF(G261="High","TREAT",IF(F261="Y","REMOVE AND REPLACE","PLANT FIRST, REMOVE LATER")))))</f>
        <v/>
      </c>
      <c r="K261" s="12" t="str">
        <f aca="false">IF(N(D261)=0,"",IF(J261="TREAT","Successor if space: ","")&amp;IF(H261="Wet","Quercus bicolor or Malus fusca",IF(H261="Riparian","Natives only: Malus fusca, Salix, Q. garryana on edges",IF(H261="Upland","Quercus garryana or Q. macrocarpa","Set site type"))))</f>
        <v/>
      </c>
      <c r="L261" s="54" t="str">
        <f aca="false">IF(N(D261)=0,"",D261*'Ash EAB'!$B$11)</f>
        <v/>
      </c>
      <c r="M261" s="54" t="str">
        <f aca="false">IF(N(D261)=0,"",L261*ROUNDUP('Ash EAB'!$B$17/'Ash EAB'!$B$12,0))</f>
        <v/>
      </c>
      <c r="N261" s="54" t="str">
        <f aca="false">IF(N(D261)=0,"",D261*'Ash EAB'!$B$13+'Ash EAB'!$B$15)</f>
        <v/>
      </c>
      <c r="O261" s="54" t="str">
        <f aca="false">IF(N(D261)=0,"",D261*'Ash EAB'!$B$13*'Ash EAB'!$B$14+'Ash EAB'!$B$15)</f>
        <v/>
      </c>
      <c r="P261" s="47" t="str">
        <f aca="false">IF(N(D261)=0,"",IF(M261&lt;N261,"Treat","Replace"))</f>
        <v/>
      </c>
      <c r="Q261" s="43"/>
      <c r="R261" s="37"/>
      <c r="S261" s="37" t="str">
        <f aca="false">IF(R261="","",EDATE(R261,ROUND('Ash EAB'!$B$12*12,0)))</f>
        <v/>
      </c>
      <c r="T261" s="47"/>
      <c r="U261" s="12"/>
    </row>
    <row r="262" customFormat="false" ht="15" hidden="false" customHeight="true" outlineLevel="0" collapsed="false">
      <c r="A262" s="43"/>
      <c r="B262" s="81"/>
      <c r="C262" s="12"/>
      <c r="D262" s="42"/>
      <c r="E262" s="85"/>
      <c r="F262" s="47"/>
      <c r="G262" s="47"/>
      <c r="H262" s="47"/>
      <c r="I262" s="47"/>
      <c r="J262" s="12" t="str">
        <f aca="false">IF(N(D262)=0,"",IF(N(E262)&gt;0.5,IF(I262="Y","REMOVE NOW: target at risk","REMOVE NOW"),IF(N(E262)&gt;=0.3,"GRAY ZONE: assess structure",IF(G262="High","TREAT",IF(F262="Y","REMOVE AND REPLACE","PLANT FIRST, REMOVE LATER")))))</f>
        <v/>
      </c>
      <c r="K262" s="12" t="str">
        <f aca="false">IF(N(D262)=0,"",IF(J262="TREAT","Successor if space: ","")&amp;IF(H262="Wet","Quercus bicolor or Malus fusca",IF(H262="Riparian","Natives only: Malus fusca, Salix, Q. garryana on edges",IF(H262="Upland","Quercus garryana or Q. macrocarpa","Set site type"))))</f>
        <v/>
      </c>
      <c r="L262" s="54" t="str">
        <f aca="false">IF(N(D262)=0,"",D262*'Ash EAB'!$B$11)</f>
        <v/>
      </c>
      <c r="M262" s="54" t="str">
        <f aca="false">IF(N(D262)=0,"",L262*ROUNDUP('Ash EAB'!$B$17/'Ash EAB'!$B$12,0))</f>
        <v/>
      </c>
      <c r="N262" s="54" t="str">
        <f aca="false">IF(N(D262)=0,"",D262*'Ash EAB'!$B$13+'Ash EAB'!$B$15)</f>
        <v/>
      </c>
      <c r="O262" s="54" t="str">
        <f aca="false">IF(N(D262)=0,"",D262*'Ash EAB'!$B$13*'Ash EAB'!$B$14+'Ash EAB'!$B$15)</f>
        <v/>
      </c>
      <c r="P262" s="47" t="str">
        <f aca="false">IF(N(D262)=0,"",IF(M262&lt;N262,"Treat","Replace"))</f>
        <v/>
      </c>
      <c r="Q262" s="43"/>
      <c r="R262" s="37"/>
      <c r="S262" s="37" t="str">
        <f aca="false">IF(R262="","",EDATE(R262,ROUND('Ash EAB'!$B$12*12,0)))</f>
        <v/>
      </c>
      <c r="T262" s="47"/>
      <c r="U262" s="12"/>
    </row>
    <row r="263" customFormat="false" ht="15" hidden="false" customHeight="true" outlineLevel="0" collapsed="false">
      <c r="A263" s="43"/>
      <c r="B263" s="81"/>
      <c r="C263" s="12"/>
      <c r="D263" s="42"/>
      <c r="E263" s="85"/>
      <c r="F263" s="47"/>
      <c r="G263" s="47"/>
      <c r="H263" s="47"/>
      <c r="I263" s="47"/>
      <c r="J263" s="12" t="str">
        <f aca="false">IF(N(D263)=0,"",IF(N(E263)&gt;0.5,IF(I263="Y","REMOVE NOW: target at risk","REMOVE NOW"),IF(N(E263)&gt;=0.3,"GRAY ZONE: assess structure",IF(G263="High","TREAT",IF(F263="Y","REMOVE AND REPLACE","PLANT FIRST, REMOVE LATER")))))</f>
        <v/>
      </c>
      <c r="K263" s="12" t="str">
        <f aca="false">IF(N(D263)=0,"",IF(J263="TREAT","Successor if space: ","")&amp;IF(H263="Wet","Quercus bicolor or Malus fusca",IF(H263="Riparian","Natives only: Malus fusca, Salix, Q. garryana on edges",IF(H263="Upland","Quercus garryana or Q. macrocarpa","Set site type"))))</f>
        <v/>
      </c>
      <c r="L263" s="54" t="str">
        <f aca="false">IF(N(D263)=0,"",D263*'Ash EAB'!$B$11)</f>
        <v/>
      </c>
      <c r="M263" s="54" t="str">
        <f aca="false">IF(N(D263)=0,"",L263*ROUNDUP('Ash EAB'!$B$17/'Ash EAB'!$B$12,0))</f>
        <v/>
      </c>
      <c r="N263" s="54" t="str">
        <f aca="false">IF(N(D263)=0,"",D263*'Ash EAB'!$B$13+'Ash EAB'!$B$15)</f>
        <v/>
      </c>
      <c r="O263" s="54" t="str">
        <f aca="false">IF(N(D263)=0,"",D263*'Ash EAB'!$B$13*'Ash EAB'!$B$14+'Ash EAB'!$B$15)</f>
        <v/>
      </c>
      <c r="P263" s="47" t="str">
        <f aca="false">IF(N(D263)=0,"",IF(M263&lt;N263,"Treat","Replace"))</f>
        <v/>
      </c>
      <c r="Q263" s="43"/>
      <c r="R263" s="37"/>
      <c r="S263" s="37" t="str">
        <f aca="false">IF(R263="","",EDATE(R263,ROUND('Ash EAB'!$B$12*12,0)))</f>
        <v/>
      </c>
      <c r="T263" s="47"/>
      <c r="U263" s="12"/>
    </row>
    <row r="264" customFormat="false" ht="15" hidden="false" customHeight="true" outlineLevel="0" collapsed="false">
      <c r="A264" s="43"/>
      <c r="B264" s="81"/>
      <c r="C264" s="12"/>
      <c r="D264" s="42"/>
      <c r="E264" s="85"/>
      <c r="F264" s="47"/>
      <c r="G264" s="47"/>
      <c r="H264" s="47"/>
      <c r="I264" s="47"/>
      <c r="J264" s="12" t="str">
        <f aca="false">IF(N(D264)=0,"",IF(N(E264)&gt;0.5,IF(I264="Y","REMOVE NOW: target at risk","REMOVE NOW"),IF(N(E264)&gt;=0.3,"GRAY ZONE: assess structure",IF(G264="High","TREAT",IF(F264="Y","REMOVE AND REPLACE","PLANT FIRST, REMOVE LATER")))))</f>
        <v/>
      </c>
      <c r="K264" s="12" t="str">
        <f aca="false">IF(N(D264)=0,"",IF(J264="TREAT","Successor if space: ","")&amp;IF(H264="Wet","Quercus bicolor or Malus fusca",IF(H264="Riparian","Natives only: Malus fusca, Salix, Q. garryana on edges",IF(H264="Upland","Quercus garryana or Q. macrocarpa","Set site type"))))</f>
        <v/>
      </c>
      <c r="L264" s="54" t="str">
        <f aca="false">IF(N(D264)=0,"",D264*'Ash EAB'!$B$11)</f>
        <v/>
      </c>
      <c r="M264" s="54" t="str">
        <f aca="false">IF(N(D264)=0,"",L264*ROUNDUP('Ash EAB'!$B$17/'Ash EAB'!$B$12,0))</f>
        <v/>
      </c>
      <c r="N264" s="54" t="str">
        <f aca="false">IF(N(D264)=0,"",D264*'Ash EAB'!$B$13+'Ash EAB'!$B$15)</f>
        <v/>
      </c>
      <c r="O264" s="54" t="str">
        <f aca="false">IF(N(D264)=0,"",D264*'Ash EAB'!$B$13*'Ash EAB'!$B$14+'Ash EAB'!$B$15)</f>
        <v/>
      </c>
      <c r="P264" s="47" t="str">
        <f aca="false">IF(N(D264)=0,"",IF(M264&lt;N264,"Treat","Replace"))</f>
        <v/>
      </c>
      <c r="Q264" s="43"/>
      <c r="R264" s="37"/>
      <c r="S264" s="37" t="str">
        <f aca="false">IF(R264="","",EDATE(R264,ROUND('Ash EAB'!$B$12*12,0)))</f>
        <v/>
      </c>
      <c r="T264" s="47"/>
      <c r="U264" s="12"/>
    </row>
    <row r="265" customFormat="false" ht="15" hidden="false" customHeight="true" outlineLevel="0" collapsed="false">
      <c r="A265" s="43"/>
      <c r="B265" s="81"/>
      <c r="C265" s="12"/>
      <c r="D265" s="42"/>
      <c r="E265" s="85"/>
      <c r="F265" s="47"/>
      <c r="G265" s="47"/>
      <c r="H265" s="47"/>
      <c r="I265" s="47"/>
      <c r="J265" s="12" t="str">
        <f aca="false">IF(N(D265)=0,"",IF(N(E265)&gt;0.5,IF(I265="Y","REMOVE NOW: target at risk","REMOVE NOW"),IF(N(E265)&gt;=0.3,"GRAY ZONE: assess structure",IF(G265="High","TREAT",IF(F265="Y","REMOVE AND REPLACE","PLANT FIRST, REMOVE LATER")))))</f>
        <v/>
      </c>
      <c r="K265" s="12" t="str">
        <f aca="false">IF(N(D265)=0,"",IF(J265="TREAT","Successor if space: ","")&amp;IF(H265="Wet","Quercus bicolor or Malus fusca",IF(H265="Riparian","Natives only: Malus fusca, Salix, Q. garryana on edges",IF(H265="Upland","Quercus garryana or Q. macrocarpa","Set site type"))))</f>
        <v/>
      </c>
      <c r="L265" s="54" t="str">
        <f aca="false">IF(N(D265)=0,"",D265*'Ash EAB'!$B$11)</f>
        <v/>
      </c>
      <c r="M265" s="54" t="str">
        <f aca="false">IF(N(D265)=0,"",L265*ROUNDUP('Ash EAB'!$B$17/'Ash EAB'!$B$12,0))</f>
        <v/>
      </c>
      <c r="N265" s="54" t="str">
        <f aca="false">IF(N(D265)=0,"",D265*'Ash EAB'!$B$13+'Ash EAB'!$B$15)</f>
        <v/>
      </c>
      <c r="O265" s="54" t="str">
        <f aca="false">IF(N(D265)=0,"",D265*'Ash EAB'!$B$13*'Ash EAB'!$B$14+'Ash EAB'!$B$15)</f>
        <v/>
      </c>
      <c r="P265" s="47" t="str">
        <f aca="false">IF(N(D265)=0,"",IF(M265&lt;N265,"Treat","Replace"))</f>
        <v/>
      </c>
      <c r="Q265" s="43"/>
      <c r="R265" s="37"/>
      <c r="S265" s="37" t="str">
        <f aca="false">IF(R265="","",EDATE(R265,ROUND('Ash EAB'!$B$12*12,0)))</f>
        <v/>
      </c>
      <c r="T265" s="47"/>
      <c r="U265" s="12"/>
    </row>
    <row r="266" customFormat="false" ht="15" hidden="false" customHeight="true" outlineLevel="0" collapsed="false">
      <c r="A266" s="43"/>
      <c r="B266" s="81"/>
      <c r="C266" s="12"/>
      <c r="D266" s="42"/>
      <c r="E266" s="85"/>
      <c r="F266" s="47"/>
      <c r="G266" s="47"/>
      <c r="H266" s="47"/>
      <c r="I266" s="47"/>
      <c r="J266" s="12" t="str">
        <f aca="false">IF(N(D266)=0,"",IF(N(E266)&gt;0.5,IF(I266="Y","REMOVE NOW: target at risk","REMOVE NOW"),IF(N(E266)&gt;=0.3,"GRAY ZONE: assess structure",IF(G266="High","TREAT",IF(F266="Y","REMOVE AND REPLACE","PLANT FIRST, REMOVE LATER")))))</f>
        <v/>
      </c>
      <c r="K266" s="12" t="str">
        <f aca="false">IF(N(D266)=0,"",IF(J266="TREAT","Successor if space: ","")&amp;IF(H266="Wet","Quercus bicolor or Malus fusca",IF(H266="Riparian","Natives only: Malus fusca, Salix, Q. garryana on edges",IF(H266="Upland","Quercus garryana or Q. macrocarpa","Set site type"))))</f>
        <v/>
      </c>
      <c r="L266" s="54" t="str">
        <f aca="false">IF(N(D266)=0,"",D266*'Ash EAB'!$B$11)</f>
        <v/>
      </c>
      <c r="M266" s="54" t="str">
        <f aca="false">IF(N(D266)=0,"",L266*ROUNDUP('Ash EAB'!$B$17/'Ash EAB'!$B$12,0))</f>
        <v/>
      </c>
      <c r="N266" s="54" t="str">
        <f aca="false">IF(N(D266)=0,"",D266*'Ash EAB'!$B$13+'Ash EAB'!$B$15)</f>
        <v/>
      </c>
      <c r="O266" s="54" t="str">
        <f aca="false">IF(N(D266)=0,"",D266*'Ash EAB'!$B$13*'Ash EAB'!$B$14+'Ash EAB'!$B$15)</f>
        <v/>
      </c>
      <c r="P266" s="47" t="str">
        <f aca="false">IF(N(D266)=0,"",IF(M266&lt;N266,"Treat","Replace"))</f>
        <v/>
      </c>
      <c r="Q266" s="43"/>
      <c r="R266" s="37"/>
      <c r="S266" s="37" t="str">
        <f aca="false">IF(R266="","",EDATE(R266,ROUND('Ash EAB'!$B$12*12,0)))</f>
        <v/>
      </c>
      <c r="T266" s="47"/>
      <c r="U266" s="12"/>
    </row>
    <row r="267" customFormat="false" ht="15" hidden="false" customHeight="true" outlineLevel="0" collapsed="false">
      <c r="A267" s="43"/>
      <c r="B267" s="81"/>
      <c r="C267" s="12"/>
      <c r="D267" s="42"/>
      <c r="E267" s="85"/>
      <c r="F267" s="47"/>
      <c r="G267" s="47"/>
      <c r="H267" s="47"/>
      <c r="I267" s="47"/>
      <c r="J267" s="12" t="str">
        <f aca="false">IF(N(D267)=0,"",IF(N(E267)&gt;0.5,IF(I267="Y","REMOVE NOW: target at risk","REMOVE NOW"),IF(N(E267)&gt;=0.3,"GRAY ZONE: assess structure",IF(G267="High","TREAT",IF(F267="Y","REMOVE AND REPLACE","PLANT FIRST, REMOVE LATER")))))</f>
        <v/>
      </c>
      <c r="K267" s="12" t="str">
        <f aca="false">IF(N(D267)=0,"",IF(J267="TREAT","Successor if space: ","")&amp;IF(H267="Wet","Quercus bicolor or Malus fusca",IF(H267="Riparian","Natives only: Malus fusca, Salix, Q. garryana on edges",IF(H267="Upland","Quercus garryana or Q. macrocarpa","Set site type"))))</f>
        <v/>
      </c>
      <c r="L267" s="54" t="str">
        <f aca="false">IF(N(D267)=0,"",D267*'Ash EAB'!$B$11)</f>
        <v/>
      </c>
      <c r="M267" s="54" t="str">
        <f aca="false">IF(N(D267)=0,"",L267*ROUNDUP('Ash EAB'!$B$17/'Ash EAB'!$B$12,0))</f>
        <v/>
      </c>
      <c r="N267" s="54" t="str">
        <f aca="false">IF(N(D267)=0,"",D267*'Ash EAB'!$B$13+'Ash EAB'!$B$15)</f>
        <v/>
      </c>
      <c r="O267" s="54" t="str">
        <f aca="false">IF(N(D267)=0,"",D267*'Ash EAB'!$B$13*'Ash EAB'!$B$14+'Ash EAB'!$B$15)</f>
        <v/>
      </c>
      <c r="P267" s="47" t="str">
        <f aca="false">IF(N(D267)=0,"",IF(M267&lt;N267,"Treat","Replace"))</f>
        <v/>
      </c>
      <c r="Q267" s="43"/>
      <c r="R267" s="37"/>
      <c r="S267" s="37" t="str">
        <f aca="false">IF(R267="","",EDATE(R267,ROUND('Ash EAB'!$B$12*12,0)))</f>
        <v/>
      </c>
      <c r="T267" s="47"/>
      <c r="U267" s="12"/>
    </row>
    <row r="268" customFormat="false" ht="15" hidden="false" customHeight="true" outlineLevel="0" collapsed="false">
      <c r="A268" s="43"/>
      <c r="B268" s="81"/>
      <c r="C268" s="12"/>
      <c r="D268" s="42"/>
      <c r="E268" s="85"/>
      <c r="F268" s="47"/>
      <c r="G268" s="47"/>
      <c r="H268" s="47"/>
      <c r="I268" s="47"/>
      <c r="J268" s="12" t="str">
        <f aca="false">IF(N(D268)=0,"",IF(N(E268)&gt;0.5,IF(I268="Y","REMOVE NOW: target at risk","REMOVE NOW"),IF(N(E268)&gt;=0.3,"GRAY ZONE: assess structure",IF(G268="High","TREAT",IF(F268="Y","REMOVE AND REPLACE","PLANT FIRST, REMOVE LATER")))))</f>
        <v/>
      </c>
      <c r="K268" s="12" t="str">
        <f aca="false">IF(N(D268)=0,"",IF(J268="TREAT","Successor if space: ","")&amp;IF(H268="Wet","Quercus bicolor or Malus fusca",IF(H268="Riparian","Natives only: Malus fusca, Salix, Q. garryana on edges",IF(H268="Upland","Quercus garryana or Q. macrocarpa","Set site type"))))</f>
        <v/>
      </c>
      <c r="L268" s="54" t="str">
        <f aca="false">IF(N(D268)=0,"",D268*'Ash EAB'!$B$11)</f>
        <v/>
      </c>
      <c r="M268" s="54" t="str">
        <f aca="false">IF(N(D268)=0,"",L268*ROUNDUP('Ash EAB'!$B$17/'Ash EAB'!$B$12,0))</f>
        <v/>
      </c>
      <c r="N268" s="54" t="str">
        <f aca="false">IF(N(D268)=0,"",D268*'Ash EAB'!$B$13+'Ash EAB'!$B$15)</f>
        <v/>
      </c>
      <c r="O268" s="54" t="str">
        <f aca="false">IF(N(D268)=0,"",D268*'Ash EAB'!$B$13*'Ash EAB'!$B$14+'Ash EAB'!$B$15)</f>
        <v/>
      </c>
      <c r="P268" s="47" t="str">
        <f aca="false">IF(N(D268)=0,"",IF(M268&lt;N268,"Treat","Replace"))</f>
        <v/>
      </c>
      <c r="Q268" s="43"/>
      <c r="R268" s="37"/>
      <c r="S268" s="37" t="str">
        <f aca="false">IF(R268="","",EDATE(R268,ROUND('Ash EAB'!$B$12*12,0)))</f>
        <v/>
      </c>
      <c r="T268" s="47"/>
      <c r="U268" s="12"/>
    </row>
    <row r="269" customFormat="false" ht="15" hidden="false" customHeight="true" outlineLevel="0" collapsed="false">
      <c r="A269" s="43"/>
      <c r="B269" s="81"/>
      <c r="C269" s="12"/>
      <c r="D269" s="42"/>
      <c r="E269" s="85"/>
      <c r="F269" s="47"/>
      <c r="G269" s="47"/>
      <c r="H269" s="47"/>
      <c r="I269" s="47"/>
      <c r="J269" s="12" t="str">
        <f aca="false">IF(N(D269)=0,"",IF(N(E269)&gt;0.5,IF(I269="Y","REMOVE NOW: target at risk","REMOVE NOW"),IF(N(E269)&gt;=0.3,"GRAY ZONE: assess structure",IF(G269="High","TREAT",IF(F269="Y","REMOVE AND REPLACE","PLANT FIRST, REMOVE LATER")))))</f>
        <v/>
      </c>
      <c r="K269" s="12" t="str">
        <f aca="false">IF(N(D269)=0,"",IF(J269="TREAT","Successor if space: ","")&amp;IF(H269="Wet","Quercus bicolor or Malus fusca",IF(H269="Riparian","Natives only: Malus fusca, Salix, Q. garryana on edges",IF(H269="Upland","Quercus garryana or Q. macrocarpa","Set site type"))))</f>
        <v/>
      </c>
      <c r="L269" s="54" t="str">
        <f aca="false">IF(N(D269)=0,"",D269*'Ash EAB'!$B$11)</f>
        <v/>
      </c>
      <c r="M269" s="54" t="str">
        <f aca="false">IF(N(D269)=0,"",L269*ROUNDUP('Ash EAB'!$B$17/'Ash EAB'!$B$12,0))</f>
        <v/>
      </c>
      <c r="N269" s="54" t="str">
        <f aca="false">IF(N(D269)=0,"",D269*'Ash EAB'!$B$13+'Ash EAB'!$B$15)</f>
        <v/>
      </c>
      <c r="O269" s="54" t="str">
        <f aca="false">IF(N(D269)=0,"",D269*'Ash EAB'!$B$13*'Ash EAB'!$B$14+'Ash EAB'!$B$15)</f>
        <v/>
      </c>
      <c r="P269" s="47" t="str">
        <f aca="false">IF(N(D269)=0,"",IF(M269&lt;N269,"Treat","Replace"))</f>
        <v/>
      </c>
      <c r="Q269" s="43"/>
      <c r="R269" s="37"/>
      <c r="S269" s="37" t="str">
        <f aca="false">IF(R269="","",EDATE(R269,ROUND('Ash EAB'!$B$12*12,0)))</f>
        <v/>
      </c>
      <c r="T269" s="47"/>
      <c r="U269" s="12"/>
    </row>
    <row r="270" customFormat="false" ht="15" hidden="false" customHeight="true" outlineLevel="0" collapsed="false">
      <c r="A270" s="43"/>
      <c r="B270" s="81"/>
      <c r="C270" s="12"/>
      <c r="D270" s="42"/>
      <c r="E270" s="85"/>
      <c r="F270" s="47"/>
      <c r="G270" s="47"/>
      <c r="H270" s="47"/>
      <c r="I270" s="47"/>
      <c r="J270" s="12" t="str">
        <f aca="false">IF(N(D270)=0,"",IF(N(E270)&gt;0.5,IF(I270="Y","REMOVE NOW: target at risk","REMOVE NOW"),IF(N(E270)&gt;=0.3,"GRAY ZONE: assess structure",IF(G270="High","TREAT",IF(F270="Y","REMOVE AND REPLACE","PLANT FIRST, REMOVE LATER")))))</f>
        <v/>
      </c>
      <c r="K270" s="12" t="str">
        <f aca="false">IF(N(D270)=0,"",IF(J270="TREAT","Successor if space: ","")&amp;IF(H270="Wet","Quercus bicolor or Malus fusca",IF(H270="Riparian","Natives only: Malus fusca, Salix, Q. garryana on edges",IF(H270="Upland","Quercus garryana or Q. macrocarpa","Set site type"))))</f>
        <v/>
      </c>
      <c r="L270" s="54" t="str">
        <f aca="false">IF(N(D270)=0,"",D270*'Ash EAB'!$B$11)</f>
        <v/>
      </c>
      <c r="M270" s="54" t="str">
        <f aca="false">IF(N(D270)=0,"",L270*ROUNDUP('Ash EAB'!$B$17/'Ash EAB'!$B$12,0))</f>
        <v/>
      </c>
      <c r="N270" s="54" t="str">
        <f aca="false">IF(N(D270)=0,"",D270*'Ash EAB'!$B$13+'Ash EAB'!$B$15)</f>
        <v/>
      </c>
      <c r="O270" s="54" t="str">
        <f aca="false">IF(N(D270)=0,"",D270*'Ash EAB'!$B$13*'Ash EAB'!$B$14+'Ash EAB'!$B$15)</f>
        <v/>
      </c>
      <c r="P270" s="47" t="str">
        <f aca="false">IF(N(D270)=0,"",IF(M270&lt;N270,"Treat","Replace"))</f>
        <v/>
      </c>
      <c r="Q270" s="43"/>
      <c r="R270" s="37"/>
      <c r="S270" s="37" t="str">
        <f aca="false">IF(R270="","",EDATE(R270,ROUND('Ash EAB'!$B$12*12,0)))</f>
        <v/>
      </c>
      <c r="T270" s="47"/>
      <c r="U270" s="12"/>
    </row>
    <row r="271" customFormat="false" ht="15" hidden="false" customHeight="true" outlineLevel="0" collapsed="false">
      <c r="A271" s="43"/>
      <c r="B271" s="81"/>
      <c r="C271" s="12"/>
      <c r="D271" s="42"/>
      <c r="E271" s="85"/>
      <c r="F271" s="47"/>
      <c r="G271" s="47"/>
      <c r="H271" s="47"/>
      <c r="I271" s="47"/>
      <c r="J271" s="12" t="str">
        <f aca="false">IF(N(D271)=0,"",IF(N(E271)&gt;0.5,IF(I271="Y","REMOVE NOW: target at risk","REMOVE NOW"),IF(N(E271)&gt;=0.3,"GRAY ZONE: assess structure",IF(G271="High","TREAT",IF(F271="Y","REMOVE AND REPLACE","PLANT FIRST, REMOVE LATER")))))</f>
        <v/>
      </c>
      <c r="K271" s="12" t="str">
        <f aca="false">IF(N(D271)=0,"",IF(J271="TREAT","Successor if space: ","")&amp;IF(H271="Wet","Quercus bicolor or Malus fusca",IF(H271="Riparian","Natives only: Malus fusca, Salix, Q. garryana on edges",IF(H271="Upland","Quercus garryana or Q. macrocarpa","Set site type"))))</f>
        <v/>
      </c>
      <c r="L271" s="54" t="str">
        <f aca="false">IF(N(D271)=0,"",D271*'Ash EAB'!$B$11)</f>
        <v/>
      </c>
      <c r="M271" s="54" t="str">
        <f aca="false">IF(N(D271)=0,"",L271*ROUNDUP('Ash EAB'!$B$17/'Ash EAB'!$B$12,0))</f>
        <v/>
      </c>
      <c r="N271" s="54" t="str">
        <f aca="false">IF(N(D271)=0,"",D271*'Ash EAB'!$B$13+'Ash EAB'!$B$15)</f>
        <v/>
      </c>
      <c r="O271" s="54" t="str">
        <f aca="false">IF(N(D271)=0,"",D271*'Ash EAB'!$B$13*'Ash EAB'!$B$14+'Ash EAB'!$B$15)</f>
        <v/>
      </c>
      <c r="P271" s="47" t="str">
        <f aca="false">IF(N(D271)=0,"",IF(M271&lt;N271,"Treat","Replace"))</f>
        <v/>
      </c>
      <c r="Q271" s="43"/>
      <c r="R271" s="37"/>
      <c r="S271" s="37" t="str">
        <f aca="false">IF(R271="","",EDATE(R271,ROUND('Ash EAB'!$B$12*12,0)))</f>
        <v/>
      </c>
      <c r="T271" s="47"/>
      <c r="U271" s="12"/>
    </row>
    <row r="272" customFormat="false" ht="15" hidden="false" customHeight="true" outlineLevel="0" collapsed="false">
      <c r="A272" s="43"/>
      <c r="B272" s="81"/>
      <c r="C272" s="12"/>
      <c r="D272" s="42"/>
      <c r="E272" s="85"/>
      <c r="F272" s="47"/>
      <c r="G272" s="47"/>
      <c r="H272" s="47"/>
      <c r="I272" s="47"/>
      <c r="J272" s="12" t="str">
        <f aca="false">IF(N(D272)=0,"",IF(N(E272)&gt;0.5,IF(I272="Y","REMOVE NOW: target at risk","REMOVE NOW"),IF(N(E272)&gt;=0.3,"GRAY ZONE: assess structure",IF(G272="High","TREAT",IF(F272="Y","REMOVE AND REPLACE","PLANT FIRST, REMOVE LATER")))))</f>
        <v/>
      </c>
      <c r="K272" s="12" t="str">
        <f aca="false">IF(N(D272)=0,"",IF(J272="TREAT","Successor if space: ","")&amp;IF(H272="Wet","Quercus bicolor or Malus fusca",IF(H272="Riparian","Natives only: Malus fusca, Salix, Q. garryana on edges",IF(H272="Upland","Quercus garryana or Q. macrocarpa","Set site type"))))</f>
        <v/>
      </c>
      <c r="L272" s="54" t="str">
        <f aca="false">IF(N(D272)=0,"",D272*'Ash EAB'!$B$11)</f>
        <v/>
      </c>
      <c r="M272" s="54" t="str">
        <f aca="false">IF(N(D272)=0,"",L272*ROUNDUP('Ash EAB'!$B$17/'Ash EAB'!$B$12,0))</f>
        <v/>
      </c>
      <c r="N272" s="54" t="str">
        <f aca="false">IF(N(D272)=0,"",D272*'Ash EAB'!$B$13+'Ash EAB'!$B$15)</f>
        <v/>
      </c>
      <c r="O272" s="54" t="str">
        <f aca="false">IF(N(D272)=0,"",D272*'Ash EAB'!$B$13*'Ash EAB'!$B$14+'Ash EAB'!$B$15)</f>
        <v/>
      </c>
      <c r="P272" s="47" t="str">
        <f aca="false">IF(N(D272)=0,"",IF(M272&lt;N272,"Treat","Replace"))</f>
        <v/>
      </c>
      <c r="Q272" s="43"/>
      <c r="R272" s="37"/>
      <c r="S272" s="37" t="str">
        <f aca="false">IF(R272="","",EDATE(R272,ROUND('Ash EAB'!$B$12*12,0)))</f>
        <v/>
      </c>
      <c r="T272" s="47"/>
      <c r="U272" s="12"/>
    </row>
    <row r="273" customFormat="false" ht="15" hidden="false" customHeight="true" outlineLevel="0" collapsed="false">
      <c r="A273" s="43"/>
      <c r="B273" s="81"/>
      <c r="C273" s="12"/>
      <c r="D273" s="42"/>
      <c r="E273" s="85"/>
      <c r="F273" s="47"/>
      <c r="G273" s="47"/>
      <c r="H273" s="47"/>
      <c r="I273" s="47"/>
      <c r="J273" s="12" t="str">
        <f aca="false">IF(N(D273)=0,"",IF(N(E273)&gt;0.5,IF(I273="Y","REMOVE NOW: target at risk","REMOVE NOW"),IF(N(E273)&gt;=0.3,"GRAY ZONE: assess structure",IF(G273="High","TREAT",IF(F273="Y","REMOVE AND REPLACE","PLANT FIRST, REMOVE LATER")))))</f>
        <v/>
      </c>
      <c r="K273" s="12" t="str">
        <f aca="false">IF(N(D273)=0,"",IF(J273="TREAT","Successor if space: ","")&amp;IF(H273="Wet","Quercus bicolor or Malus fusca",IF(H273="Riparian","Natives only: Malus fusca, Salix, Q. garryana on edges",IF(H273="Upland","Quercus garryana or Q. macrocarpa","Set site type"))))</f>
        <v/>
      </c>
      <c r="L273" s="54" t="str">
        <f aca="false">IF(N(D273)=0,"",D273*'Ash EAB'!$B$11)</f>
        <v/>
      </c>
      <c r="M273" s="54" t="str">
        <f aca="false">IF(N(D273)=0,"",L273*ROUNDUP('Ash EAB'!$B$17/'Ash EAB'!$B$12,0))</f>
        <v/>
      </c>
      <c r="N273" s="54" t="str">
        <f aca="false">IF(N(D273)=0,"",D273*'Ash EAB'!$B$13+'Ash EAB'!$B$15)</f>
        <v/>
      </c>
      <c r="O273" s="54" t="str">
        <f aca="false">IF(N(D273)=0,"",D273*'Ash EAB'!$B$13*'Ash EAB'!$B$14+'Ash EAB'!$B$15)</f>
        <v/>
      </c>
      <c r="P273" s="47" t="str">
        <f aca="false">IF(N(D273)=0,"",IF(M273&lt;N273,"Treat","Replace"))</f>
        <v/>
      </c>
      <c r="Q273" s="43"/>
      <c r="R273" s="37"/>
      <c r="S273" s="37" t="str">
        <f aca="false">IF(R273="","",EDATE(R273,ROUND('Ash EAB'!$B$12*12,0)))</f>
        <v/>
      </c>
      <c r="T273" s="47"/>
      <c r="U273" s="12"/>
    </row>
    <row r="274" customFormat="false" ht="15" hidden="false" customHeight="true" outlineLevel="0" collapsed="false">
      <c r="A274" s="43"/>
      <c r="B274" s="81"/>
      <c r="C274" s="12"/>
      <c r="D274" s="42"/>
      <c r="E274" s="85"/>
      <c r="F274" s="47"/>
      <c r="G274" s="47"/>
      <c r="H274" s="47"/>
      <c r="I274" s="47"/>
      <c r="J274" s="12" t="str">
        <f aca="false">IF(N(D274)=0,"",IF(N(E274)&gt;0.5,IF(I274="Y","REMOVE NOW: target at risk","REMOVE NOW"),IF(N(E274)&gt;=0.3,"GRAY ZONE: assess structure",IF(G274="High","TREAT",IF(F274="Y","REMOVE AND REPLACE","PLANT FIRST, REMOVE LATER")))))</f>
        <v/>
      </c>
      <c r="K274" s="12" t="str">
        <f aca="false">IF(N(D274)=0,"",IF(J274="TREAT","Successor if space: ","")&amp;IF(H274="Wet","Quercus bicolor or Malus fusca",IF(H274="Riparian","Natives only: Malus fusca, Salix, Q. garryana on edges",IF(H274="Upland","Quercus garryana or Q. macrocarpa","Set site type"))))</f>
        <v/>
      </c>
      <c r="L274" s="54" t="str">
        <f aca="false">IF(N(D274)=0,"",D274*'Ash EAB'!$B$11)</f>
        <v/>
      </c>
      <c r="M274" s="54" t="str">
        <f aca="false">IF(N(D274)=0,"",L274*ROUNDUP('Ash EAB'!$B$17/'Ash EAB'!$B$12,0))</f>
        <v/>
      </c>
      <c r="N274" s="54" t="str">
        <f aca="false">IF(N(D274)=0,"",D274*'Ash EAB'!$B$13+'Ash EAB'!$B$15)</f>
        <v/>
      </c>
      <c r="O274" s="54" t="str">
        <f aca="false">IF(N(D274)=0,"",D274*'Ash EAB'!$B$13*'Ash EAB'!$B$14+'Ash EAB'!$B$15)</f>
        <v/>
      </c>
      <c r="P274" s="47" t="str">
        <f aca="false">IF(N(D274)=0,"",IF(M274&lt;N274,"Treat","Replace"))</f>
        <v/>
      </c>
      <c r="Q274" s="43"/>
      <c r="R274" s="37"/>
      <c r="S274" s="37" t="str">
        <f aca="false">IF(R274="","",EDATE(R274,ROUND('Ash EAB'!$B$12*12,0)))</f>
        <v/>
      </c>
      <c r="T274" s="47"/>
      <c r="U274" s="12"/>
    </row>
    <row r="275" customFormat="false" ht="15" hidden="false" customHeight="true" outlineLevel="0" collapsed="false">
      <c r="A275" s="43"/>
      <c r="B275" s="81"/>
      <c r="C275" s="12"/>
      <c r="D275" s="42"/>
      <c r="E275" s="85"/>
      <c r="F275" s="47"/>
      <c r="G275" s="47"/>
      <c r="H275" s="47"/>
      <c r="I275" s="47"/>
      <c r="J275" s="12" t="str">
        <f aca="false">IF(N(D275)=0,"",IF(N(E275)&gt;0.5,IF(I275="Y","REMOVE NOW: target at risk","REMOVE NOW"),IF(N(E275)&gt;=0.3,"GRAY ZONE: assess structure",IF(G275="High","TREAT",IF(F275="Y","REMOVE AND REPLACE","PLANT FIRST, REMOVE LATER")))))</f>
        <v/>
      </c>
      <c r="K275" s="12" t="str">
        <f aca="false">IF(N(D275)=0,"",IF(J275="TREAT","Successor if space: ","")&amp;IF(H275="Wet","Quercus bicolor or Malus fusca",IF(H275="Riparian","Natives only: Malus fusca, Salix, Q. garryana on edges",IF(H275="Upland","Quercus garryana or Q. macrocarpa","Set site type"))))</f>
        <v/>
      </c>
      <c r="L275" s="54" t="str">
        <f aca="false">IF(N(D275)=0,"",D275*'Ash EAB'!$B$11)</f>
        <v/>
      </c>
      <c r="M275" s="54" t="str">
        <f aca="false">IF(N(D275)=0,"",L275*ROUNDUP('Ash EAB'!$B$17/'Ash EAB'!$B$12,0))</f>
        <v/>
      </c>
      <c r="N275" s="54" t="str">
        <f aca="false">IF(N(D275)=0,"",D275*'Ash EAB'!$B$13+'Ash EAB'!$B$15)</f>
        <v/>
      </c>
      <c r="O275" s="54" t="str">
        <f aca="false">IF(N(D275)=0,"",D275*'Ash EAB'!$B$13*'Ash EAB'!$B$14+'Ash EAB'!$B$15)</f>
        <v/>
      </c>
      <c r="P275" s="47" t="str">
        <f aca="false">IF(N(D275)=0,"",IF(M275&lt;N275,"Treat","Replace"))</f>
        <v/>
      </c>
      <c r="Q275" s="43"/>
      <c r="R275" s="37"/>
      <c r="S275" s="37" t="str">
        <f aca="false">IF(R275="","",EDATE(R275,ROUND('Ash EAB'!$B$12*12,0)))</f>
        <v/>
      </c>
      <c r="T275" s="47"/>
      <c r="U275" s="12"/>
    </row>
    <row r="276" customFormat="false" ht="15" hidden="false" customHeight="true" outlineLevel="0" collapsed="false">
      <c r="A276" s="43"/>
      <c r="B276" s="81"/>
      <c r="C276" s="12"/>
      <c r="D276" s="42"/>
      <c r="E276" s="85"/>
      <c r="F276" s="47"/>
      <c r="G276" s="47"/>
      <c r="H276" s="47"/>
      <c r="I276" s="47"/>
      <c r="J276" s="12" t="str">
        <f aca="false">IF(N(D276)=0,"",IF(N(E276)&gt;0.5,IF(I276="Y","REMOVE NOW: target at risk","REMOVE NOW"),IF(N(E276)&gt;=0.3,"GRAY ZONE: assess structure",IF(G276="High","TREAT",IF(F276="Y","REMOVE AND REPLACE","PLANT FIRST, REMOVE LATER")))))</f>
        <v/>
      </c>
      <c r="K276" s="12" t="str">
        <f aca="false">IF(N(D276)=0,"",IF(J276="TREAT","Successor if space: ","")&amp;IF(H276="Wet","Quercus bicolor or Malus fusca",IF(H276="Riparian","Natives only: Malus fusca, Salix, Q. garryana on edges",IF(H276="Upland","Quercus garryana or Q. macrocarpa","Set site type"))))</f>
        <v/>
      </c>
      <c r="L276" s="54" t="str">
        <f aca="false">IF(N(D276)=0,"",D276*'Ash EAB'!$B$11)</f>
        <v/>
      </c>
      <c r="M276" s="54" t="str">
        <f aca="false">IF(N(D276)=0,"",L276*ROUNDUP('Ash EAB'!$B$17/'Ash EAB'!$B$12,0))</f>
        <v/>
      </c>
      <c r="N276" s="54" t="str">
        <f aca="false">IF(N(D276)=0,"",D276*'Ash EAB'!$B$13+'Ash EAB'!$B$15)</f>
        <v/>
      </c>
      <c r="O276" s="54" t="str">
        <f aca="false">IF(N(D276)=0,"",D276*'Ash EAB'!$B$13*'Ash EAB'!$B$14+'Ash EAB'!$B$15)</f>
        <v/>
      </c>
      <c r="P276" s="47" t="str">
        <f aca="false">IF(N(D276)=0,"",IF(M276&lt;N276,"Treat","Replace"))</f>
        <v/>
      </c>
      <c r="Q276" s="43"/>
      <c r="R276" s="37"/>
      <c r="S276" s="37" t="str">
        <f aca="false">IF(R276="","",EDATE(R276,ROUND('Ash EAB'!$B$12*12,0)))</f>
        <v/>
      </c>
      <c r="T276" s="47"/>
      <c r="U276" s="12"/>
    </row>
    <row r="277" customFormat="false" ht="15" hidden="false" customHeight="true" outlineLevel="0" collapsed="false">
      <c r="A277" s="43"/>
      <c r="B277" s="81"/>
      <c r="C277" s="12"/>
      <c r="D277" s="42"/>
      <c r="E277" s="85"/>
      <c r="F277" s="47"/>
      <c r="G277" s="47"/>
      <c r="H277" s="47"/>
      <c r="I277" s="47"/>
      <c r="J277" s="12" t="str">
        <f aca="false">IF(N(D277)=0,"",IF(N(E277)&gt;0.5,IF(I277="Y","REMOVE NOW: target at risk","REMOVE NOW"),IF(N(E277)&gt;=0.3,"GRAY ZONE: assess structure",IF(G277="High","TREAT",IF(F277="Y","REMOVE AND REPLACE","PLANT FIRST, REMOVE LATER")))))</f>
        <v/>
      </c>
      <c r="K277" s="12" t="str">
        <f aca="false">IF(N(D277)=0,"",IF(J277="TREAT","Successor if space: ","")&amp;IF(H277="Wet","Quercus bicolor or Malus fusca",IF(H277="Riparian","Natives only: Malus fusca, Salix, Q. garryana on edges",IF(H277="Upland","Quercus garryana or Q. macrocarpa","Set site type"))))</f>
        <v/>
      </c>
      <c r="L277" s="54" t="str">
        <f aca="false">IF(N(D277)=0,"",D277*'Ash EAB'!$B$11)</f>
        <v/>
      </c>
      <c r="M277" s="54" t="str">
        <f aca="false">IF(N(D277)=0,"",L277*ROUNDUP('Ash EAB'!$B$17/'Ash EAB'!$B$12,0))</f>
        <v/>
      </c>
      <c r="N277" s="54" t="str">
        <f aca="false">IF(N(D277)=0,"",D277*'Ash EAB'!$B$13+'Ash EAB'!$B$15)</f>
        <v/>
      </c>
      <c r="O277" s="54" t="str">
        <f aca="false">IF(N(D277)=0,"",D277*'Ash EAB'!$B$13*'Ash EAB'!$B$14+'Ash EAB'!$B$15)</f>
        <v/>
      </c>
      <c r="P277" s="47" t="str">
        <f aca="false">IF(N(D277)=0,"",IF(M277&lt;N277,"Treat","Replace"))</f>
        <v/>
      </c>
      <c r="Q277" s="43"/>
      <c r="R277" s="37"/>
      <c r="S277" s="37" t="str">
        <f aca="false">IF(R277="","",EDATE(R277,ROUND('Ash EAB'!$B$12*12,0)))</f>
        <v/>
      </c>
      <c r="T277" s="47"/>
      <c r="U277" s="12"/>
    </row>
    <row r="278" customFormat="false" ht="15" hidden="false" customHeight="true" outlineLevel="0" collapsed="false">
      <c r="A278" s="43"/>
      <c r="B278" s="81"/>
      <c r="C278" s="12"/>
      <c r="D278" s="42"/>
      <c r="E278" s="85"/>
      <c r="F278" s="47"/>
      <c r="G278" s="47"/>
      <c r="H278" s="47"/>
      <c r="I278" s="47"/>
      <c r="J278" s="12" t="str">
        <f aca="false">IF(N(D278)=0,"",IF(N(E278)&gt;0.5,IF(I278="Y","REMOVE NOW: target at risk","REMOVE NOW"),IF(N(E278)&gt;=0.3,"GRAY ZONE: assess structure",IF(G278="High","TREAT",IF(F278="Y","REMOVE AND REPLACE","PLANT FIRST, REMOVE LATER")))))</f>
        <v/>
      </c>
      <c r="K278" s="12" t="str">
        <f aca="false">IF(N(D278)=0,"",IF(J278="TREAT","Successor if space: ","")&amp;IF(H278="Wet","Quercus bicolor or Malus fusca",IF(H278="Riparian","Natives only: Malus fusca, Salix, Q. garryana on edges",IF(H278="Upland","Quercus garryana or Q. macrocarpa","Set site type"))))</f>
        <v/>
      </c>
      <c r="L278" s="54" t="str">
        <f aca="false">IF(N(D278)=0,"",D278*'Ash EAB'!$B$11)</f>
        <v/>
      </c>
      <c r="M278" s="54" t="str">
        <f aca="false">IF(N(D278)=0,"",L278*ROUNDUP('Ash EAB'!$B$17/'Ash EAB'!$B$12,0))</f>
        <v/>
      </c>
      <c r="N278" s="54" t="str">
        <f aca="false">IF(N(D278)=0,"",D278*'Ash EAB'!$B$13+'Ash EAB'!$B$15)</f>
        <v/>
      </c>
      <c r="O278" s="54" t="str">
        <f aca="false">IF(N(D278)=0,"",D278*'Ash EAB'!$B$13*'Ash EAB'!$B$14+'Ash EAB'!$B$15)</f>
        <v/>
      </c>
      <c r="P278" s="47" t="str">
        <f aca="false">IF(N(D278)=0,"",IF(M278&lt;N278,"Treat","Replace"))</f>
        <v/>
      </c>
      <c r="Q278" s="43"/>
      <c r="R278" s="37"/>
      <c r="S278" s="37" t="str">
        <f aca="false">IF(R278="","",EDATE(R278,ROUND('Ash EAB'!$B$12*12,0)))</f>
        <v/>
      </c>
      <c r="T278" s="47"/>
      <c r="U278" s="12"/>
    </row>
    <row r="279" customFormat="false" ht="15" hidden="false" customHeight="true" outlineLevel="0" collapsed="false">
      <c r="A279" s="43"/>
      <c r="B279" s="81"/>
      <c r="C279" s="12"/>
      <c r="D279" s="42"/>
      <c r="E279" s="85"/>
      <c r="F279" s="47"/>
      <c r="G279" s="47"/>
      <c r="H279" s="47"/>
      <c r="I279" s="47"/>
      <c r="J279" s="12" t="str">
        <f aca="false">IF(N(D279)=0,"",IF(N(E279)&gt;0.5,IF(I279="Y","REMOVE NOW: target at risk","REMOVE NOW"),IF(N(E279)&gt;=0.3,"GRAY ZONE: assess structure",IF(G279="High","TREAT",IF(F279="Y","REMOVE AND REPLACE","PLANT FIRST, REMOVE LATER")))))</f>
        <v/>
      </c>
      <c r="K279" s="12" t="str">
        <f aca="false">IF(N(D279)=0,"",IF(J279="TREAT","Successor if space: ","")&amp;IF(H279="Wet","Quercus bicolor or Malus fusca",IF(H279="Riparian","Natives only: Malus fusca, Salix, Q. garryana on edges",IF(H279="Upland","Quercus garryana or Q. macrocarpa","Set site type"))))</f>
        <v/>
      </c>
      <c r="L279" s="54" t="str">
        <f aca="false">IF(N(D279)=0,"",D279*'Ash EAB'!$B$11)</f>
        <v/>
      </c>
      <c r="M279" s="54" t="str">
        <f aca="false">IF(N(D279)=0,"",L279*ROUNDUP('Ash EAB'!$B$17/'Ash EAB'!$B$12,0))</f>
        <v/>
      </c>
      <c r="N279" s="54" t="str">
        <f aca="false">IF(N(D279)=0,"",D279*'Ash EAB'!$B$13+'Ash EAB'!$B$15)</f>
        <v/>
      </c>
      <c r="O279" s="54" t="str">
        <f aca="false">IF(N(D279)=0,"",D279*'Ash EAB'!$B$13*'Ash EAB'!$B$14+'Ash EAB'!$B$15)</f>
        <v/>
      </c>
      <c r="P279" s="47" t="str">
        <f aca="false">IF(N(D279)=0,"",IF(M279&lt;N279,"Treat","Replace"))</f>
        <v/>
      </c>
      <c r="Q279" s="43"/>
      <c r="R279" s="37"/>
      <c r="S279" s="37" t="str">
        <f aca="false">IF(R279="","",EDATE(R279,ROUND('Ash EAB'!$B$12*12,0)))</f>
        <v/>
      </c>
      <c r="T279" s="47"/>
      <c r="U279" s="12"/>
    </row>
    <row r="280" customFormat="false" ht="15" hidden="false" customHeight="true" outlineLevel="0" collapsed="false">
      <c r="A280" s="43"/>
      <c r="B280" s="81"/>
      <c r="C280" s="12"/>
      <c r="D280" s="42"/>
      <c r="E280" s="85"/>
      <c r="F280" s="47"/>
      <c r="G280" s="47"/>
      <c r="H280" s="47"/>
      <c r="I280" s="47"/>
      <c r="J280" s="12" t="str">
        <f aca="false">IF(N(D280)=0,"",IF(N(E280)&gt;0.5,IF(I280="Y","REMOVE NOW: target at risk","REMOVE NOW"),IF(N(E280)&gt;=0.3,"GRAY ZONE: assess structure",IF(G280="High","TREAT",IF(F280="Y","REMOVE AND REPLACE","PLANT FIRST, REMOVE LATER")))))</f>
        <v/>
      </c>
      <c r="K280" s="12" t="str">
        <f aca="false">IF(N(D280)=0,"",IF(J280="TREAT","Successor if space: ","")&amp;IF(H280="Wet","Quercus bicolor or Malus fusca",IF(H280="Riparian","Natives only: Malus fusca, Salix, Q. garryana on edges",IF(H280="Upland","Quercus garryana or Q. macrocarpa","Set site type"))))</f>
        <v/>
      </c>
      <c r="L280" s="54" t="str">
        <f aca="false">IF(N(D280)=0,"",D280*'Ash EAB'!$B$11)</f>
        <v/>
      </c>
      <c r="M280" s="54" t="str">
        <f aca="false">IF(N(D280)=0,"",L280*ROUNDUP('Ash EAB'!$B$17/'Ash EAB'!$B$12,0))</f>
        <v/>
      </c>
      <c r="N280" s="54" t="str">
        <f aca="false">IF(N(D280)=0,"",D280*'Ash EAB'!$B$13+'Ash EAB'!$B$15)</f>
        <v/>
      </c>
      <c r="O280" s="54" t="str">
        <f aca="false">IF(N(D280)=0,"",D280*'Ash EAB'!$B$13*'Ash EAB'!$B$14+'Ash EAB'!$B$15)</f>
        <v/>
      </c>
      <c r="P280" s="47" t="str">
        <f aca="false">IF(N(D280)=0,"",IF(M280&lt;N280,"Treat","Replace"))</f>
        <v/>
      </c>
      <c r="Q280" s="43"/>
      <c r="R280" s="37"/>
      <c r="S280" s="37" t="str">
        <f aca="false">IF(R280="","",EDATE(R280,ROUND('Ash EAB'!$B$12*12,0)))</f>
        <v/>
      </c>
      <c r="T280" s="47"/>
      <c r="U280" s="12"/>
    </row>
    <row r="281" customFormat="false" ht="15" hidden="false" customHeight="true" outlineLevel="0" collapsed="false">
      <c r="A281" s="43"/>
      <c r="B281" s="81"/>
      <c r="C281" s="12"/>
      <c r="D281" s="42"/>
      <c r="E281" s="85"/>
      <c r="F281" s="47"/>
      <c r="G281" s="47"/>
      <c r="H281" s="47"/>
      <c r="I281" s="47"/>
      <c r="J281" s="12" t="str">
        <f aca="false">IF(N(D281)=0,"",IF(N(E281)&gt;0.5,IF(I281="Y","REMOVE NOW: target at risk","REMOVE NOW"),IF(N(E281)&gt;=0.3,"GRAY ZONE: assess structure",IF(G281="High","TREAT",IF(F281="Y","REMOVE AND REPLACE","PLANT FIRST, REMOVE LATER")))))</f>
        <v/>
      </c>
      <c r="K281" s="12" t="str">
        <f aca="false">IF(N(D281)=0,"",IF(J281="TREAT","Successor if space: ","")&amp;IF(H281="Wet","Quercus bicolor or Malus fusca",IF(H281="Riparian","Natives only: Malus fusca, Salix, Q. garryana on edges",IF(H281="Upland","Quercus garryana or Q. macrocarpa","Set site type"))))</f>
        <v/>
      </c>
      <c r="L281" s="54" t="str">
        <f aca="false">IF(N(D281)=0,"",D281*'Ash EAB'!$B$11)</f>
        <v/>
      </c>
      <c r="M281" s="54" t="str">
        <f aca="false">IF(N(D281)=0,"",L281*ROUNDUP('Ash EAB'!$B$17/'Ash EAB'!$B$12,0))</f>
        <v/>
      </c>
      <c r="N281" s="54" t="str">
        <f aca="false">IF(N(D281)=0,"",D281*'Ash EAB'!$B$13+'Ash EAB'!$B$15)</f>
        <v/>
      </c>
      <c r="O281" s="54" t="str">
        <f aca="false">IF(N(D281)=0,"",D281*'Ash EAB'!$B$13*'Ash EAB'!$B$14+'Ash EAB'!$B$15)</f>
        <v/>
      </c>
      <c r="P281" s="47" t="str">
        <f aca="false">IF(N(D281)=0,"",IF(M281&lt;N281,"Treat","Replace"))</f>
        <v/>
      </c>
      <c r="Q281" s="43"/>
      <c r="R281" s="37"/>
      <c r="S281" s="37" t="str">
        <f aca="false">IF(R281="","",EDATE(R281,ROUND('Ash EAB'!$B$12*12,0)))</f>
        <v/>
      </c>
      <c r="T281" s="47"/>
      <c r="U281" s="12"/>
    </row>
    <row r="282" customFormat="false" ht="15" hidden="false" customHeight="true" outlineLevel="0" collapsed="false">
      <c r="A282" s="43"/>
      <c r="B282" s="81"/>
      <c r="C282" s="12"/>
      <c r="D282" s="42"/>
      <c r="E282" s="85"/>
      <c r="F282" s="47"/>
      <c r="G282" s="47"/>
      <c r="H282" s="47"/>
      <c r="I282" s="47"/>
      <c r="J282" s="12" t="str">
        <f aca="false">IF(N(D282)=0,"",IF(N(E282)&gt;0.5,IF(I282="Y","REMOVE NOW: target at risk","REMOVE NOW"),IF(N(E282)&gt;=0.3,"GRAY ZONE: assess structure",IF(G282="High","TREAT",IF(F282="Y","REMOVE AND REPLACE","PLANT FIRST, REMOVE LATER")))))</f>
        <v/>
      </c>
      <c r="K282" s="12" t="str">
        <f aca="false">IF(N(D282)=0,"",IF(J282="TREAT","Successor if space: ","")&amp;IF(H282="Wet","Quercus bicolor or Malus fusca",IF(H282="Riparian","Natives only: Malus fusca, Salix, Q. garryana on edges",IF(H282="Upland","Quercus garryana or Q. macrocarpa","Set site type"))))</f>
        <v/>
      </c>
      <c r="L282" s="54" t="str">
        <f aca="false">IF(N(D282)=0,"",D282*'Ash EAB'!$B$11)</f>
        <v/>
      </c>
      <c r="M282" s="54" t="str">
        <f aca="false">IF(N(D282)=0,"",L282*ROUNDUP('Ash EAB'!$B$17/'Ash EAB'!$B$12,0))</f>
        <v/>
      </c>
      <c r="N282" s="54" t="str">
        <f aca="false">IF(N(D282)=0,"",D282*'Ash EAB'!$B$13+'Ash EAB'!$B$15)</f>
        <v/>
      </c>
      <c r="O282" s="54" t="str">
        <f aca="false">IF(N(D282)=0,"",D282*'Ash EAB'!$B$13*'Ash EAB'!$B$14+'Ash EAB'!$B$15)</f>
        <v/>
      </c>
      <c r="P282" s="47" t="str">
        <f aca="false">IF(N(D282)=0,"",IF(M282&lt;N282,"Treat","Replace"))</f>
        <v/>
      </c>
      <c r="Q282" s="43"/>
      <c r="R282" s="37"/>
      <c r="S282" s="37" t="str">
        <f aca="false">IF(R282="","",EDATE(R282,ROUND('Ash EAB'!$B$12*12,0)))</f>
        <v/>
      </c>
      <c r="T282" s="47"/>
      <c r="U282" s="12"/>
    </row>
    <row r="283" customFormat="false" ht="15" hidden="false" customHeight="true" outlineLevel="0" collapsed="false">
      <c r="A283" s="43"/>
      <c r="B283" s="81"/>
      <c r="C283" s="12"/>
      <c r="D283" s="42"/>
      <c r="E283" s="85"/>
      <c r="F283" s="47"/>
      <c r="G283" s="47"/>
      <c r="H283" s="47"/>
      <c r="I283" s="47"/>
      <c r="J283" s="12" t="str">
        <f aca="false">IF(N(D283)=0,"",IF(N(E283)&gt;0.5,IF(I283="Y","REMOVE NOW: target at risk","REMOVE NOW"),IF(N(E283)&gt;=0.3,"GRAY ZONE: assess structure",IF(G283="High","TREAT",IF(F283="Y","REMOVE AND REPLACE","PLANT FIRST, REMOVE LATER")))))</f>
        <v/>
      </c>
      <c r="K283" s="12" t="str">
        <f aca="false">IF(N(D283)=0,"",IF(J283="TREAT","Successor if space: ","")&amp;IF(H283="Wet","Quercus bicolor or Malus fusca",IF(H283="Riparian","Natives only: Malus fusca, Salix, Q. garryana on edges",IF(H283="Upland","Quercus garryana or Q. macrocarpa","Set site type"))))</f>
        <v/>
      </c>
      <c r="L283" s="54" t="str">
        <f aca="false">IF(N(D283)=0,"",D283*'Ash EAB'!$B$11)</f>
        <v/>
      </c>
      <c r="M283" s="54" t="str">
        <f aca="false">IF(N(D283)=0,"",L283*ROUNDUP('Ash EAB'!$B$17/'Ash EAB'!$B$12,0))</f>
        <v/>
      </c>
      <c r="N283" s="54" t="str">
        <f aca="false">IF(N(D283)=0,"",D283*'Ash EAB'!$B$13+'Ash EAB'!$B$15)</f>
        <v/>
      </c>
      <c r="O283" s="54" t="str">
        <f aca="false">IF(N(D283)=0,"",D283*'Ash EAB'!$B$13*'Ash EAB'!$B$14+'Ash EAB'!$B$15)</f>
        <v/>
      </c>
      <c r="P283" s="47" t="str">
        <f aca="false">IF(N(D283)=0,"",IF(M283&lt;N283,"Treat","Replace"))</f>
        <v/>
      </c>
      <c r="Q283" s="43"/>
      <c r="R283" s="37"/>
      <c r="S283" s="37" t="str">
        <f aca="false">IF(R283="","",EDATE(R283,ROUND('Ash EAB'!$B$12*12,0)))</f>
        <v/>
      </c>
      <c r="T283" s="47"/>
      <c r="U283" s="12"/>
    </row>
    <row r="284" customFormat="false" ht="15" hidden="false" customHeight="true" outlineLevel="0" collapsed="false">
      <c r="A284" s="43"/>
      <c r="B284" s="81"/>
      <c r="C284" s="12"/>
      <c r="D284" s="42"/>
      <c r="E284" s="85"/>
      <c r="F284" s="47"/>
      <c r="G284" s="47"/>
      <c r="H284" s="47"/>
      <c r="I284" s="47"/>
      <c r="J284" s="12" t="str">
        <f aca="false">IF(N(D284)=0,"",IF(N(E284)&gt;0.5,IF(I284="Y","REMOVE NOW: target at risk","REMOVE NOW"),IF(N(E284)&gt;=0.3,"GRAY ZONE: assess structure",IF(G284="High","TREAT",IF(F284="Y","REMOVE AND REPLACE","PLANT FIRST, REMOVE LATER")))))</f>
        <v/>
      </c>
      <c r="K284" s="12" t="str">
        <f aca="false">IF(N(D284)=0,"",IF(J284="TREAT","Successor if space: ","")&amp;IF(H284="Wet","Quercus bicolor or Malus fusca",IF(H284="Riparian","Natives only: Malus fusca, Salix, Q. garryana on edges",IF(H284="Upland","Quercus garryana or Q. macrocarpa","Set site type"))))</f>
        <v/>
      </c>
      <c r="L284" s="54" t="str">
        <f aca="false">IF(N(D284)=0,"",D284*'Ash EAB'!$B$11)</f>
        <v/>
      </c>
      <c r="M284" s="54" t="str">
        <f aca="false">IF(N(D284)=0,"",L284*ROUNDUP('Ash EAB'!$B$17/'Ash EAB'!$B$12,0))</f>
        <v/>
      </c>
      <c r="N284" s="54" t="str">
        <f aca="false">IF(N(D284)=0,"",D284*'Ash EAB'!$B$13+'Ash EAB'!$B$15)</f>
        <v/>
      </c>
      <c r="O284" s="54" t="str">
        <f aca="false">IF(N(D284)=0,"",D284*'Ash EAB'!$B$13*'Ash EAB'!$B$14+'Ash EAB'!$B$15)</f>
        <v/>
      </c>
      <c r="P284" s="47" t="str">
        <f aca="false">IF(N(D284)=0,"",IF(M284&lt;N284,"Treat","Replace"))</f>
        <v/>
      </c>
      <c r="Q284" s="43"/>
      <c r="R284" s="37"/>
      <c r="S284" s="37" t="str">
        <f aca="false">IF(R284="","",EDATE(R284,ROUND('Ash EAB'!$B$12*12,0)))</f>
        <v/>
      </c>
      <c r="T284" s="47"/>
      <c r="U284" s="12"/>
    </row>
    <row r="285" customFormat="false" ht="15" hidden="false" customHeight="true" outlineLevel="0" collapsed="false">
      <c r="A285" s="43"/>
      <c r="B285" s="81"/>
      <c r="C285" s="12"/>
      <c r="D285" s="42"/>
      <c r="E285" s="85"/>
      <c r="F285" s="47"/>
      <c r="G285" s="47"/>
      <c r="H285" s="47"/>
      <c r="I285" s="47"/>
      <c r="J285" s="12" t="str">
        <f aca="false">IF(N(D285)=0,"",IF(N(E285)&gt;0.5,IF(I285="Y","REMOVE NOW: target at risk","REMOVE NOW"),IF(N(E285)&gt;=0.3,"GRAY ZONE: assess structure",IF(G285="High","TREAT",IF(F285="Y","REMOVE AND REPLACE","PLANT FIRST, REMOVE LATER")))))</f>
        <v/>
      </c>
      <c r="K285" s="12" t="str">
        <f aca="false">IF(N(D285)=0,"",IF(J285="TREAT","Successor if space: ","")&amp;IF(H285="Wet","Quercus bicolor or Malus fusca",IF(H285="Riparian","Natives only: Malus fusca, Salix, Q. garryana on edges",IF(H285="Upland","Quercus garryana or Q. macrocarpa","Set site type"))))</f>
        <v/>
      </c>
      <c r="L285" s="54" t="str">
        <f aca="false">IF(N(D285)=0,"",D285*'Ash EAB'!$B$11)</f>
        <v/>
      </c>
      <c r="M285" s="54" t="str">
        <f aca="false">IF(N(D285)=0,"",L285*ROUNDUP('Ash EAB'!$B$17/'Ash EAB'!$B$12,0))</f>
        <v/>
      </c>
      <c r="N285" s="54" t="str">
        <f aca="false">IF(N(D285)=0,"",D285*'Ash EAB'!$B$13+'Ash EAB'!$B$15)</f>
        <v/>
      </c>
      <c r="O285" s="54" t="str">
        <f aca="false">IF(N(D285)=0,"",D285*'Ash EAB'!$B$13*'Ash EAB'!$B$14+'Ash EAB'!$B$15)</f>
        <v/>
      </c>
      <c r="P285" s="47" t="str">
        <f aca="false">IF(N(D285)=0,"",IF(M285&lt;N285,"Treat","Replace"))</f>
        <v/>
      </c>
      <c r="Q285" s="43"/>
      <c r="R285" s="37"/>
      <c r="S285" s="37" t="str">
        <f aca="false">IF(R285="","",EDATE(R285,ROUND('Ash EAB'!$B$12*12,0)))</f>
        <v/>
      </c>
      <c r="T285" s="47"/>
      <c r="U285" s="12"/>
    </row>
    <row r="286" customFormat="false" ht="15" hidden="false" customHeight="true" outlineLevel="0" collapsed="false">
      <c r="A286" s="43"/>
      <c r="B286" s="81"/>
      <c r="C286" s="12"/>
      <c r="D286" s="42"/>
      <c r="E286" s="85"/>
      <c r="F286" s="47"/>
      <c r="G286" s="47"/>
      <c r="H286" s="47"/>
      <c r="I286" s="47"/>
      <c r="J286" s="12" t="str">
        <f aca="false">IF(N(D286)=0,"",IF(N(E286)&gt;0.5,IF(I286="Y","REMOVE NOW: target at risk","REMOVE NOW"),IF(N(E286)&gt;=0.3,"GRAY ZONE: assess structure",IF(G286="High","TREAT",IF(F286="Y","REMOVE AND REPLACE","PLANT FIRST, REMOVE LATER")))))</f>
        <v/>
      </c>
      <c r="K286" s="12" t="str">
        <f aca="false">IF(N(D286)=0,"",IF(J286="TREAT","Successor if space: ","")&amp;IF(H286="Wet","Quercus bicolor or Malus fusca",IF(H286="Riparian","Natives only: Malus fusca, Salix, Q. garryana on edges",IF(H286="Upland","Quercus garryana or Q. macrocarpa","Set site type"))))</f>
        <v/>
      </c>
      <c r="L286" s="54" t="str">
        <f aca="false">IF(N(D286)=0,"",D286*'Ash EAB'!$B$11)</f>
        <v/>
      </c>
      <c r="M286" s="54" t="str">
        <f aca="false">IF(N(D286)=0,"",L286*ROUNDUP('Ash EAB'!$B$17/'Ash EAB'!$B$12,0))</f>
        <v/>
      </c>
      <c r="N286" s="54" t="str">
        <f aca="false">IF(N(D286)=0,"",D286*'Ash EAB'!$B$13+'Ash EAB'!$B$15)</f>
        <v/>
      </c>
      <c r="O286" s="54" t="str">
        <f aca="false">IF(N(D286)=0,"",D286*'Ash EAB'!$B$13*'Ash EAB'!$B$14+'Ash EAB'!$B$15)</f>
        <v/>
      </c>
      <c r="P286" s="47" t="str">
        <f aca="false">IF(N(D286)=0,"",IF(M286&lt;N286,"Treat","Replace"))</f>
        <v/>
      </c>
      <c r="Q286" s="43"/>
      <c r="R286" s="37"/>
      <c r="S286" s="37" t="str">
        <f aca="false">IF(R286="","",EDATE(R286,ROUND('Ash EAB'!$B$12*12,0)))</f>
        <v/>
      </c>
      <c r="T286" s="47"/>
      <c r="U286" s="12"/>
    </row>
    <row r="287" customFormat="false" ht="15" hidden="false" customHeight="true" outlineLevel="0" collapsed="false">
      <c r="A287" s="43"/>
      <c r="B287" s="81"/>
      <c r="C287" s="12"/>
      <c r="D287" s="42"/>
      <c r="E287" s="85"/>
      <c r="F287" s="47"/>
      <c r="G287" s="47"/>
      <c r="H287" s="47"/>
      <c r="I287" s="47"/>
      <c r="J287" s="12" t="str">
        <f aca="false">IF(N(D287)=0,"",IF(N(E287)&gt;0.5,IF(I287="Y","REMOVE NOW: target at risk","REMOVE NOW"),IF(N(E287)&gt;=0.3,"GRAY ZONE: assess structure",IF(G287="High","TREAT",IF(F287="Y","REMOVE AND REPLACE","PLANT FIRST, REMOVE LATER")))))</f>
        <v/>
      </c>
      <c r="K287" s="12" t="str">
        <f aca="false">IF(N(D287)=0,"",IF(J287="TREAT","Successor if space: ","")&amp;IF(H287="Wet","Quercus bicolor or Malus fusca",IF(H287="Riparian","Natives only: Malus fusca, Salix, Q. garryana on edges",IF(H287="Upland","Quercus garryana or Q. macrocarpa","Set site type"))))</f>
        <v/>
      </c>
      <c r="L287" s="54" t="str">
        <f aca="false">IF(N(D287)=0,"",D287*'Ash EAB'!$B$11)</f>
        <v/>
      </c>
      <c r="M287" s="54" t="str">
        <f aca="false">IF(N(D287)=0,"",L287*ROUNDUP('Ash EAB'!$B$17/'Ash EAB'!$B$12,0))</f>
        <v/>
      </c>
      <c r="N287" s="54" t="str">
        <f aca="false">IF(N(D287)=0,"",D287*'Ash EAB'!$B$13+'Ash EAB'!$B$15)</f>
        <v/>
      </c>
      <c r="O287" s="54" t="str">
        <f aca="false">IF(N(D287)=0,"",D287*'Ash EAB'!$B$13*'Ash EAB'!$B$14+'Ash EAB'!$B$15)</f>
        <v/>
      </c>
      <c r="P287" s="47" t="str">
        <f aca="false">IF(N(D287)=0,"",IF(M287&lt;N287,"Treat","Replace"))</f>
        <v/>
      </c>
      <c r="Q287" s="43"/>
      <c r="R287" s="37"/>
      <c r="S287" s="37" t="str">
        <f aca="false">IF(R287="","",EDATE(R287,ROUND('Ash EAB'!$B$12*12,0)))</f>
        <v/>
      </c>
      <c r="T287" s="47"/>
      <c r="U287" s="12"/>
    </row>
    <row r="288" customFormat="false" ht="15" hidden="false" customHeight="true" outlineLevel="0" collapsed="false">
      <c r="A288" s="43"/>
      <c r="B288" s="81"/>
      <c r="C288" s="12"/>
      <c r="D288" s="42"/>
      <c r="E288" s="85"/>
      <c r="F288" s="47"/>
      <c r="G288" s="47"/>
      <c r="H288" s="47"/>
      <c r="I288" s="47"/>
      <c r="J288" s="12" t="str">
        <f aca="false">IF(N(D288)=0,"",IF(N(E288)&gt;0.5,IF(I288="Y","REMOVE NOW: target at risk","REMOVE NOW"),IF(N(E288)&gt;=0.3,"GRAY ZONE: assess structure",IF(G288="High","TREAT",IF(F288="Y","REMOVE AND REPLACE","PLANT FIRST, REMOVE LATER")))))</f>
        <v/>
      </c>
      <c r="K288" s="12" t="str">
        <f aca="false">IF(N(D288)=0,"",IF(J288="TREAT","Successor if space: ","")&amp;IF(H288="Wet","Quercus bicolor or Malus fusca",IF(H288="Riparian","Natives only: Malus fusca, Salix, Q. garryana on edges",IF(H288="Upland","Quercus garryana or Q. macrocarpa","Set site type"))))</f>
        <v/>
      </c>
      <c r="L288" s="54" t="str">
        <f aca="false">IF(N(D288)=0,"",D288*'Ash EAB'!$B$11)</f>
        <v/>
      </c>
      <c r="M288" s="54" t="str">
        <f aca="false">IF(N(D288)=0,"",L288*ROUNDUP('Ash EAB'!$B$17/'Ash EAB'!$B$12,0))</f>
        <v/>
      </c>
      <c r="N288" s="54" t="str">
        <f aca="false">IF(N(D288)=0,"",D288*'Ash EAB'!$B$13+'Ash EAB'!$B$15)</f>
        <v/>
      </c>
      <c r="O288" s="54" t="str">
        <f aca="false">IF(N(D288)=0,"",D288*'Ash EAB'!$B$13*'Ash EAB'!$B$14+'Ash EAB'!$B$15)</f>
        <v/>
      </c>
      <c r="P288" s="47" t="str">
        <f aca="false">IF(N(D288)=0,"",IF(M288&lt;N288,"Treat","Replace"))</f>
        <v/>
      </c>
      <c r="Q288" s="43"/>
      <c r="R288" s="37"/>
      <c r="S288" s="37" t="str">
        <f aca="false">IF(R288="","",EDATE(R288,ROUND('Ash EAB'!$B$12*12,0)))</f>
        <v/>
      </c>
      <c r="T288" s="47"/>
      <c r="U288" s="12"/>
    </row>
    <row r="289" customFormat="false" ht="15" hidden="false" customHeight="true" outlineLevel="0" collapsed="false">
      <c r="A289" s="43"/>
      <c r="B289" s="81"/>
      <c r="C289" s="12"/>
      <c r="D289" s="42"/>
      <c r="E289" s="85"/>
      <c r="F289" s="47"/>
      <c r="G289" s="47"/>
      <c r="H289" s="47"/>
      <c r="I289" s="47"/>
      <c r="J289" s="12" t="str">
        <f aca="false">IF(N(D289)=0,"",IF(N(E289)&gt;0.5,IF(I289="Y","REMOVE NOW: target at risk","REMOVE NOW"),IF(N(E289)&gt;=0.3,"GRAY ZONE: assess structure",IF(G289="High","TREAT",IF(F289="Y","REMOVE AND REPLACE","PLANT FIRST, REMOVE LATER")))))</f>
        <v/>
      </c>
      <c r="K289" s="12" t="str">
        <f aca="false">IF(N(D289)=0,"",IF(J289="TREAT","Successor if space: ","")&amp;IF(H289="Wet","Quercus bicolor or Malus fusca",IF(H289="Riparian","Natives only: Malus fusca, Salix, Q. garryana on edges",IF(H289="Upland","Quercus garryana or Q. macrocarpa","Set site type"))))</f>
        <v/>
      </c>
      <c r="L289" s="54" t="str">
        <f aca="false">IF(N(D289)=0,"",D289*'Ash EAB'!$B$11)</f>
        <v/>
      </c>
      <c r="M289" s="54" t="str">
        <f aca="false">IF(N(D289)=0,"",L289*ROUNDUP('Ash EAB'!$B$17/'Ash EAB'!$B$12,0))</f>
        <v/>
      </c>
      <c r="N289" s="54" t="str">
        <f aca="false">IF(N(D289)=0,"",D289*'Ash EAB'!$B$13+'Ash EAB'!$B$15)</f>
        <v/>
      </c>
      <c r="O289" s="54" t="str">
        <f aca="false">IF(N(D289)=0,"",D289*'Ash EAB'!$B$13*'Ash EAB'!$B$14+'Ash EAB'!$B$15)</f>
        <v/>
      </c>
      <c r="P289" s="47" t="str">
        <f aca="false">IF(N(D289)=0,"",IF(M289&lt;N289,"Treat","Replace"))</f>
        <v/>
      </c>
      <c r="Q289" s="43"/>
      <c r="R289" s="37"/>
      <c r="S289" s="37" t="str">
        <f aca="false">IF(R289="","",EDATE(R289,ROUND('Ash EAB'!$B$12*12,0)))</f>
        <v/>
      </c>
      <c r="T289" s="47"/>
      <c r="U289" s="12"/>
    </row>
    <row r="290" customFormat="false" ht="15" hidden="false" customHeight="true" outlineLevel="0" collapsed="false">
      <c r="A290" s="43"/>
      <c r="B290" s="81"/>
      <c r="C290" s="12"/>
      <c r="D290" s="42"/>
      <c r="E290" s="85"/>
      <c r="F290" s="47"/>
      <c r="G290" s="47"/>
      <c r="H290" s="47"/>
      <c r="I290" s="47"/>
      <c r="J290" s="12" t="str">
        <f aca="false">IF(N(D290)=0,"",IF(N(E290)&gt;0.5,IF(I290="Y","REMOVE NOW: target at risk","REMOVE NOW"),IF(N(E290)&gt;=0.3,"GRAY ZONE: assess structure",IF(G290="High","TREAT",IF(F290="Y","REMOVE AND REPLACE","PLANT FIRST, REMOVE LATER")))))</f>
        <v/>
      </c>
      <c r="K290" s="12" t="str">
        <f aca="false">IF(N(D290)=0,"",IF(J290="TREAT","Successor if space: ","")&amp;IF(H290="Wet","Quercus bicolor or Malus fusca",IF(H290="Riparian","Natives only: Malus fusca, Salix, Q. garryana on edges",IF(H290="Upland","Quercus garryana or Q. macrocarpa","Set site type"))))</f>
        <v/>
      </c>
      <c r="L290" s="54" t="str">
        <f aca="false">IF(N(D290)=0,"",D290*'Ash EAB'!$B$11)</f>
        <v/>
      </c>
      <c r="M290" s="54" t="str">
        <f aca="false">IF(N(D290)=0,"",L290*ROUNDUP('Ash EAB'!$B$17/'Ash EAB'!$B$12,0))</f>
        <v/>
      </c>
      <c r="N290" s="54" t="str">
        <f aca="false">IF(N(D290)=0,"",D290*'Ash EAB'!$B$13+'Ash EAB'!$B$15)</f>
        <v/>
      </c>
      <c r="O290" s="54" t="str">
        <f aca="false">IF(N(D290)=0,"",D290*'Ash EAB'!$B$13*'Ash EAB'!$B$14+'Ash EAB'!$B$15)</f>
        <v/>
      </c>
      <c r="P290" s="47" t="str">
        <f aca="false">IF(N(D290)=0,"",IF(M290&lt;N290,"Treat","Replace"))</f>
        <v/>
      </c>
      <c r="Q290" s="43"/>
      <c r="R290" s="37"/>
      <c r="S290" s="37" t="str">
        <f aca="false">IF(R290="","",EDATE(R290,ROUND('Ash EAB'!$B$12*12,0)))</f>
        <v/>
      </c>
      <c r="T290" s="47"/>
      <c r="U290" s="12"/>
    </row>
    <row r="291" customFormat="false" ht="15" hidden="false" customHeight="true" outlineLevel="0" collapsed="false">
      <c r="A291" s="43"/>
      <c r="B291" s="81"/>
      <c r="C291" s="12"/>
      <c r="D291" s="42"/>
      <c r="E291" s="85"/>
      <c r="F291" s="47"/>
      <c r="G291" s="47"/>
      <c r="H291" s="47"/>
      <c r="I291" s="47"/>
      <c r="J291" s="12" t="str">
        <f aca="false">IF(N(D291)=0,"",IF(N(E291)&gt;0.5,IF(I291="Y","REMOVE NOW: target at risk","REMOVE NOW"),IF(N(E291)&gt;=0.3,"GRAY ZONE: assess structure",IF(G291="High","TREAT",IF(F291="Y","REMOVE AND REPLACE","PLANT FIRST, REMOVE LATER")))))</f>
        <v/>
      </c>
      <c r="K291" s="12" t="str">
        <f aca="false">IF(N(D291)=0,"",IF(J291="TREAT","Successor if space: ","")&amp;IF(H291="Wet","Quercus bicolor or Malus fusca",IF(H291="Riparian","Natives only: Malus fusca, Salix, Q. garryana on edges",IF(H291="Upland","Quercus garryana or Q. macrocarpa","Set site type"))))</f>
        <v/>
      </c>
      <c r="L291" s="54" t="str">
        <f aca="false">IF(N(D291)=0,"",D291*'Ash EAB'!$B$11)</f>
        <v/>
      </c>
      <c r="M291" s="54" t="str">
        <f aca="false">IF(N(D291)=0,"",L291*ROUNDUP('Ash EAB'!$B$17/'Ash EAB'!$B$12,0))</f>
        <v/>
      </c>
      <c r="N291" s="54" t="str">
        <f aca="false">IF(N(D291)=0,"",D291*'Ash EAB'!$B$13+'Ash EAB'!$B$15)</f>
        <v/>
      </c>
      <c r="O291" s="54" t="str">
        <f aca="false">IF(N(D291)=0,"",D291*'Ash EAB'!$B$13*'Ash EAB'!$B$14+'Ash EAB'!$B$15)</f>
        <v/>
      </c>
      <c r="P291" s="47" t="str">
        <f aca="false">IF(N(D291)=0,"",IF(M291&lt;N291,"Treat","Replace"))</f>
        <v/>
      </c>
      <c r="Q291" s="43"/>
      <c r="R291" s="37"/>
      <c r="S291" s="37" t="str">
        <f aca="false">IF(R291="","",EDATE(R291,ROUND('Ash EAB'!$B$12*12,0)))</f>
        <v/>
      </c>
      <c r="T291" s="47"/>
      <c r="U291" s="12"/>
    </row>
    <row r="292" customFormat="false" ht="15" hidden="false" customHeight="true" outlineLevel="0" collapsed="false">
      <c r="A292" s="43"/>
      <c r="B292" s="81"/>
      <c r="C292" s="12"/>
      <c r="D292" s="42"/>
      <c r="E292" s="85"/>
      <c r="F292" s="47"/>
      <c r="G292" s="47"/>
      <c r="H292" s="47"/>
      <c r="I292" s="47"/>
      <c r="J292" s="12" t="str">
        <f aca="false">IF(N(D292)=0,"",IF(N(E292)&gt;0.5,IF(I292="Y","REMOVE NOW: target at risk","REMOVE NOW"),IF(N(E292)&gt;=0.3,"GRAY ZONE: assess structure",IF(G292="High","TREAT",IF(F292="Y","REMOVE AND REPLACE","PLANT FIRST, REMOVE LATER")))))</f>
        <v/>
      </c>
      <c r="K292" s="12" t="str">
        <f aca="false">IF(N(D292)=0,"",IF(J292="TREAT","Successor if space: ","")&amp;IF(H292="Wet","Quercus bicolor or Malus fusca",IF(H292="Riparian","Natives only: Malus fusca, Salix, Q. garryana on edges",IF(H292="Upland","Quercus garryana or Q. macrocarpa","Set site type"))))</f>
        <v/>
      </c>
      <c r="L292" s="54" t="str">
        <f aca="false">IF(N(D292)=0,"",D292*'Ash EAB'!$B$11)</f>
        <v/>
      </c>
      <c r="M292" s="54" t="str">
        <f aca="false">IF(N(D292)=0,"",L292*ROUNDUP('Ash EAB'!$B$17/'Ash EAB'!$B$12,0))</f>
        <v/>
      </c>
      <c r="N292" s="54" t="str">
        <f aca="false">IF(N(D292)=0,"",D292*'Ash EAB'!$B$13+'Ash EAB'!$B$15)</f>
        <v/>
      </c>
      <c r="O292" s="54" t="str">
        <f aca="false">IF(N(D292)=0,"",D292*'Ash EAB'!$B$13*'Ash EAB'!$B$14+'Ash EAB'!$B$15)</f>
        <v/>
      </c>
      <c r="P292" s="47" t="str">
        <f aca="false">IF(N(D292)=0,"",IF(M292&lt;N292,"Treat","Replace"))</f>
        <v/>
      </c>
      <c r="Q292" s="43"/>
      <c r="R292" s="37"/>
      <c r="S292" s="37" t="str">
        <f aca="false">IF(R292="","",EDATE(R292,ROUND('Ash EAB'!$B$12*12,0)))</f>
        <v/>
      </c>
      <c r="T292" s="47"/>
      <c r="U292" s="12"/>
    </row>
    <row r="293" customFormat="false" ht="15" hidden="false" customHeight="true" outlineLevel="0" collapsed="false">
      <c r="A293" s="43"/>
      <c r="B293" s="81"/>
      <c r="C293" s="12"/>
      <c r="D293" s="42"/>
      <c r="E293" s="85"/>
      <c r="F293" s="47"/>
      <c r="G293" s="47"/>
      <c r="H293" s="47"/>
      <c r="I293" s="47"/>
      <c r="J293" s="12" t="str">
        <f aca="false">IF(N(D293)=0,"",IF(N(E293)&gt;0.5,IF(I293="Y","REMOVE NOW: target at risk","REMOVE NOW"),IF(N(E293)&gt;=0.3,"GRAY ZONE: assess structure",IF(G293="High","TREAT",IF(F293="Y","REMOVE AND REPLACE","PLANT FIRST, REMOVE LATER")))))</f>
        <v/>
      </c>
      <c r="K293" s="12" t="str">
        <f aca="false">IF(N(D293)=0,"",IF(J293="TREAT","Successor if space: ","")&amp;IF(H293="Wet","Quercus bicolor or Malus fusca",IF(H293="Riparian","Natives only: Malus fusca, Salix, Q. garryana on edges",IF(H293="Upland","Quercus garryana or Q. macrocarpa","Set site type"))))</f>
        <v/>
      </c>
      <c r="L293" s="54" t="str">
        <f aca="false">IF(N(D293)=0,"",D293*'Ash EAB'!$B$11)</f>
        <v/>
      </c>
      <c r="M293" s="54" t="str">
        <f aca="false">IF(N(D293)=0,"",L293*ROUNDUP('Ash EAB'!$B$17/'Ash EAB'!$B$12,0))</f>
        <v/>
      </c>
      <c r="N293" s="54" t="str">
        <f aca="false">IF(N(D293)=0,"",D293*'Ash EAB'!$B$13+'Ash EAB'!$B$15)</f>
        <v/>
      </c>
      <c r="O293" s="54" t="str">
        <f aca="false">IF(N(D293)=0,"",D293*'Ash EAB'!$B$13*'Ash EAB'!$B$14+'Ash EAB'!$B$15)</f>
        <v/>
      </c>
      <c r="P293" s="47" t="str">
        <f aca="false">IF(N(D293)=0,"",IF(M293&lt;N293,"Treat","Replace"))</f>
        <v/>
      </c>
      <c r="Q293" s="43"/>
      <c r="R293" s="37"/>
      <c r="S293" s="37" t="str">
        <f aca="false">IF(R293="","",EDATE(R293,ROUND('Ash EAB'!$B$12*12,0)))</f>
        <v/>
      </c>
      <c r="T293" s="47"/>
      <c r="U293" s="12"/>
    </row>
    <row r="294" customFormat="false" ht="15" hidden="false" customHeight="true" outlineLevel="0" collapsed="false">
      <c r="A294" s="43"/>
      <c r="B294" s="81"/>
      <c r="C294" s="12"/>
      <c r="D294" s="42"/>
      <c r="E294" s="85"/>
      <c r="F294" s="47"/>
      <c r="G294" s="47"/>
      <c r="H294" s="47"/>
      <c r="I294" s="47"/>
      <c r="J294" s="12" t="str">
        <f aca="false">IF(N(D294)=0,"",IF(N(E294)&gt;0.5,IF(I294="Y","REMOVE NOW: target at risk","REMOVE NOW"),IF(N(E294)&gt;=0.3,"GRAY ZONE: assess structure",IF(G294="High","TREAT",IF(F294="Y","REMOVE AND REPLACE","PLANT FIRST, REMOVE LATER")))))</f>
        <v/>
      </c>
      <c r="K294" s="12" t="str">
        <f aca="false">IF(N(D294)=0,"",IF(J294="TREAT","Successor if space: ","")&amp;IF(H294="Wet","Quercus bicolor or Malus fusca",IF(H294="Riparian","Natives only: Malus fusca, Salix, Q. garryana on edges",IF(H294="Upland","Quercus garryana or Q. macrocarpa","Set site type"))))</f>
        <v/>
      </c>
      <c r="L294" s="54" t="str">
        <f aca="false">IF(N(D294)=0,"",D294*'Ash EAB'!$B$11)</f>
        <v/>
      </c>
      <c r="M294" s="54" t="str">
        <f aca="false">IF(N(D294)=0,"",L294*ROUNDUP('Ash EAB'!$B$17/'Ash EAB'!$B$12,0))</f>
        <v/>
      </c>
      <c r="N294" s="54" t="str">
        <f aca="false">IF(N(D294)=0,"",D294*'Ash EAB'!$B$13+'Ash EAB'!$B$15)</f>
        <v/>
      </c>
      <c r="O294" s="54" t="str">
        <f aca="false">IF(N(D294)=0,"",D294*'Ash EAB'!$B$13*'Ash EAB'!$B$14+'Ash EAB'!$B$15)</f>
        <v/>
      </c>
      <c r="P294" s="47" t="str">
        <f aca="false">IF(N(D294)=0,"",IF(M294&lt;N294,"Treat","Replace"))</f>
        <v/>
      </c>
      <c r="Q294" s="43"/>
      <c r="R294" s="37"/>
      <c r="S294" s="37" t="str">
        <f aca="false">IF(R294="","",EDATE(R294,ROUND('Ash EAB'!$B$12*12,0)))</f>
        <v/>
      </c>
      <c r="T294" s="47"/>
      <c r="U294" s="12"/>
    </row>
    <row r="295" customFormat="false" ht="15" hidden="false" customHeight="true" outlineLevel="0" collapsed="false">
      <c r="A295" s="43"/>
      <c r="B295" s="81"/>
      <c r="C295" s="12"/>
      <c r="D295" s="42"/>
      <c r="E295" s="85"/>
      <c r="F295" s="47"/>
      <c r="G295" s="47"/>
      <c r="H295" s="47"/>
      <c r="I295" s="47"/>
      <c r="J295" s="12" t="str">
        <f aca="false">IF(N(D295)=0,"",IF(N(E295)&gt;0.5,IF(I295="Y","REMOVE NOW: target at risk","REMOVE NOW"),IF(N(E295)&gt;=0.3,"GRAY ZONE: assess structure",IF(G295="High","TREAT",IF(F295="Y","REMOVE AND REPLACE","PLANT FIRST, REMOVE LATER")))))</f>
        <v/>
      </c>
      <c r="K295" s="12" t="str">
        <f aca="false">IF(N(D295)=0,"",IF(J295="TREAT","Successor if space: ","")&amp;IF(H295="Wet","Quercus bicolor or Malus fusca",IF(H295="Riparian","Natives only: Malus fusca, Salix, Q. garryana on edges",IF(H295="Upland","Quercus garryana or Q. macrocarpa","Set site type"))))</f>
        <v/>
      </c>
      <c r="L295" s="54" t="str">
        <f aca="false">IF(N(D295)=0,"",D295*'Ash EAB'!$B$11)</f>
        <v/>
      </c>
      <c r="M295" s="54" t="str">
        <f aca="false">IF(N(D295)=0,"",L295*ROUNDUP('Ash EAB'!$B$17/'Ash EAB'!$B$12,0))</f>
        <v/>
      </c>
      <c r="N295" s="54" t="str">
        <f aca="false">IF(N(D295)=0,"",D295*'Ash EAB'!$B$13+'Ash EAB'!$B$15)</f>
        <v/>
      </c>
      <c r="O295" s="54" t="str">
        <f aca="false">IF(N(D295)=0,"",D295*'Ash EAB'!$B$13*'Ash EAB'!$B$14+'Ash EAB'!$B$15)</f>
        <v/>
      </c>
      <c r="P295" s="47" t="str">
        <f aca="false">IF(N(D295)=0,"",IF(M295&lt;N295,"Treat","Replace"))</f>
        <v/>
      </c>
      <c r="Q295" s="43"/>
      <c r="R295" s="37"/>
      <c r="S295" s="37" t="str">
        <f aca="false">IF(R295="","",EDATE(R295,ROUND('Ash EAB'!$B$12*12,0)))</f>
        <v/>
      </c>
      <c r="T295" s="47"/>
      <c r="U295" s="12"/>
    </row>
    <row r="296" customFormat="false" ht="15" hidden="false" customHeight="true" outlineLevel="0" collapsed="false">
      <c r="A296" s="43"/>
      <c r="B296" s="81"/>
      <c r="C296" s="12"/>
      <c r="D296" s="42"/>
      <c r="E296" s="85"/>
      <c r="F296" s="47"/>
      <c r="G296" s="47"/>
      <c r="H296" s="47"/>
      <c r="I296" s="47"/>
      <c r="J296" s="12" t="str">
        <f aca="false">IF(N(D296)=0,"",IF(N(E296)&gt;0.5,IF(I296="Y","REMOVE NOW: target at risk","REMOVE NOW"),IF(N(E296)&gt;=0.3,"GRAY ZONE: assess structure",IF(G296="High","TREAT",IF(F296="Y","REMOVE AND REPLACE","PLANT FIRST, REMOVE LATER")))))</f>
        <v/>
      </c>
      <c r="K296" s="12" t="str">
        <f aca="false">IF(N(D296)=0,"",IF(J296="TREAT","Successor if space: ","")&amp;IF(H296="Wet","Quercus bicolor or Malus fusca",IF(H296="Riparian","Natives only: Malus fusca, Salix, Q. garryana on edges",IF(H296="Upland","Quercus garryana or Q. macrocarpa","Set site type"))))</f>
        <v/>
      </c>
      <c r="L296" s="54" t="str">
        <f aca="false">IF(N(D296)=0,"",D296*'Ash EAB'!$B$11)</f>
        <v/>
      </c>
      <c r="M296" s="54" t="str">
        <f aca="false">IF(N(D296)=0,"",L296*ROUNDUP('Ash EAB'!$B$17/'Ash EAB'!$B$12,0))</f>
        <v/>
      </c>
      <c r="N296" s="54" t="str">
        <f aca="false">IF(N(D296)=0,"",D296*'Ash EAB'!$B$13+'Ash EAB'!$B$15)</f>
        <v/>
      </c>
      <c r="O296" s="54" t="str">
        <f aca="false">IF(N(D296)=0,"",D296*'Ash EAB'!$B$13*'Ash EAB'!$B$14+'Ash EAB'!$B$15)</f>
        <v/>
      </c>
      <c r="P296" s="47" t="str">
        <f aca="false">IF(N(D296)=0,"",IF(M296&lt;N296,"Treat","Replace"))</f>
        <v/>
      </c>
      <c r="Q296" s="43"/>
      <c r="R296" s="37"/>
      <c r="S296" s="37" t="str">
        <f aca="false">IF(R296="","",EDATE(R296,ROUND('Ash EAB'!$B$12*12,0)))</f>
        <v/>
      </c>
      <c r="T296" s="47"/>
      <c r="U296" s="12"/>
    </row>
    <row r="297" customFormat="false" ht="15" hidden="false" customHeight="true" outlineLevel="0" collapsed="false">
      <c r="A297" s="43"/>
      <c r="B297" s="81"/>
      <c r="C297" s="12"/>
      <c r="D297" s="42"/>
      <c r="E297" s="85"/>
      <c r="F297" s="47"/>
      <c r="G297" s="47"/>
      <c r="H297" s="47"/>
      <c r="I297" s="47"/>
      <c r="J297" s="12" t="str">
        <f aca="false">IF(N(D297)=0,"",IF(N(E297)&gt;0.5,IF(I297="Y","REMOVE NOW: target at risk","REMOVE NOW"),IF(N(E297)&gt;=0.3,"GRAY ZONE: assess structure",IF(G297="High","TREAT",IF(F297="Y","REMOVE AND REPLACE","PLANT FIRST, REMOVE LATER")))))</f>
        <v/>
      </c>
      <c r="K297" s="12" t="str">
        <f aca="false">IF(N(D297)=0,"",IF(J297="TREAT","Successor if space: ","")&amp;IF(H297="Wet","Quercus bicolor or Malus fusca",IF(H297="Riparian","Natives only: Malus fusca, Salix, Q. garryana on edges",IF(H297="Upland","Quercus garryana or Q. macrocarpa","Set site type"))))</f>
        <v/>
      </c>
      <c r="L297" s="54" t="str">
        <f aca="false">IF(N(D297)=0,"",D297*'Ash EAB'!$B$11)</f>
        <v/>
      </c>
      <c r="M297" s="54" t="str">
        <f aca="false">IF(N(D297)=0,"",L297*ROUNDUP('Ash EAB'!$B$17/'Ash EAB'!$B$12,0))</f>
        <v/>
      </c>
      <c r="N297" s="54" t="str">
        <f aca="false">IF(N(D297)=0,"",D297*'Ash EAB'!$B$13+'Ash EAB'!$B$15)</f>
        <v/>
      </c>
      <c r="O297" s="54" t="str">
        <f aca="false">IF(N(D297)=0,"",D297*'Ash EAB'!$B$13*'Ash EAB'!$B$14+'Ash EAB'!$B$15)</f>
        <v/>
      </c>
      <c r="P297" s="47" t="str">
        <f aca="false">IF(N(D297)=0,"",IF(M297&lt;N297,"Treat","Replace"))</f>
        <v/>
      </c>
      <c r="Q297" s="43"/>
      <c r="R297" s="37"/>
      <c r="S297" s="37" t="str">
        <f aca="false">IF(R297="","",EDATE(R297,ROUND('Ash EAB'!$B$12*12,0)))</f>
        <v/>
      </c>
      <c r="T297" s="47"/>
      <c r="U297" s="12"/>
    </row>
    <row r="298" customFormat="false" ht="15" hidden="false" customHeight="true" outlineLevel="0" collapsed="false">
      <c r="A298" s="43"/>
      <c r="B298" s="81"/>
      <c r="C298" s="12"/>
      <c r="D298" s="42"/>
      <c r="E298" s="85"/>
      <c r="F298" s="47"/>
      <c r="G298" s="47"/>
      <c r="H298" s="47"/>
      <c r="I298" s="47"/>
      <c r="J298" s="12" t="str">
        <f aca="false">IF(N(D298)=0,"",IF(N(E298)&gt;0.5,IF(I298="Y","REMOVE NOW: target at risk","REMOVE NOW"),IF(N(E298)&gt;=0.3,"GRAY ZONE: assess structure",IF(G298="High","TREAT",IF(F298="Y","REMOVE AND REPLACE","PLANT FIRST, REMOVE LATER")))))</f>
        <v/>
      </c>
      <c r="K298" s="12" t="str">
        <f aca="false">IF(N(D298)=0,"",IF(J298="TREAT","Successor if space: ","")&amp;IF(H298="Wet","Quercus bicolor or Malus fusca",IF(H298="Riparian","Natives only: Malus fusca, Salix, Q. garryana on edges",IF(H298="Upland","Quercus garryana or Q. macrocarpa","Set site type"))))</f>
        <v/>
      </c>
      <c r="L298" s="54" t="str">
        <f aca="false">IF(N(D298)=0,"",D298*'Ash EAB'!$B$11)</f>
        <v/>
      </c>
      <c r="M298" s="54" t="str">
        <f aca="false">IF(N(D298)=0,"",L298*ROUNDUP('Ash EAB'!$B$17/'Ash EAB'!$B$12,0))</f>
        <v/>
      </c>
      <c r="N298" s="54" t="str">
        <f aca="false">IF(N(D298)=0,"",D298*'Ash EAB'!$B$13+'Ash EAB'!$B$15)</f>
        <v/>
      </c>
      <c r="O298" s="54" t="str">
        <f aca="false">IF(N(D298)=0,"",D298*'Ash EAB'!$B$13*'Ash EAB'!$B$14+'Ash EAB'!$B$15)</f>
        <v/>
      </c>
      <c r="P298" s="47" t="str">
        <f aca="false">IF(N(D298)=0,"",IF(M298&lt;N298,"Treat","Replace"))</f>
        <v/>
      </c>
      <c r="Q298" s="43"/>
      <c r="R298" s="37"/>
      <c r="S298" s="37" t="str">
        <f aca="false">IF(R298="","",EDATE(R298,ROUND('Ash EAB'!$B$12*12,0)))</f>
        <v/>
      </c>
      <c r="T298" s="47"/>
      <c r="U298" s="12"/>
    </row>
    <row r="299" customFormat="false" ht="15" hidden="false" customHeight="true" outlineLevel="0" collapsed="false">
      <c r="A299" s="43"/>
      <c r="B299" s="81"/>
      <c r="C299" s="12"/>
      <c r="D299" s="42"/>
      <c r="E299" s="85"/>
      <c r="F299" s="47"/>
      <c r="G299" s="47"/>
      <c r="H299" s="47"/>
      <c r="I299" s="47"/>
      <c r="J299" s="12" t="str">
        <f aca="false">IF(N(D299)=0,"",IF(N(E299)&gt;0.5,IF(I299="Y","REMOVE NOW: target at risk","REMOVE NOW"),IF(N(E299)&gt;=0.3,"GRAY ZONE: assess structure",IF(G299="High","TREAT",IF(F299="Y","REMOVE AND REPLACE","PLANT FIRST, REMOVE LATER")))))</f>
        <v/>
      </c>
      <c r="K299" s="12" t="str">
        <f aca="false">IF(N(D299)=0,"",IF(J299="TREAT","Successor if space: ","")&amp;IF(H299="Wet","Quercus bicolor or Malus fusca",IF(H299="Riparian","Natives only: Malus fusca, Salix, Q. garryana on edges",IF(H299="Upland","Quercus garryana or Q. macrocarpa","Set site type"))))</f>
        <v/>
      </c>
      <c r="L299" s="54" t="str">
        <f aca="false">IF(N(D299)=0,"",D299*'Ash EAB'!$B$11)</f>
        <v/>
      </c>
      <c r="M299" s="54" t="str">
        <f aca="false">IF(N(D299)=0,"",L299*ROUNDUP('Ash EAB'!$B$17/'Ash EAB'!$B$12,0))</f>
        <v/>
      </c>
      <c r="N299" s="54" t="str">
        <f aca="false">IF(N(D299)=0,"",D299*'Ash EAB'!$B$13+'Ash EAB'!$B$15)</f>
        <v/>
      </c>
      <c r="O299" s="54" t="str">
        <f aca="false">IF(N(D299)=0,"",D299*'Ash EAB'!$B$13*'Ash EAB'!$B$14+'Ash EAB'!$B$15)</f>
        <v/>
      </c>
      <c r="P299" s="47" t="str">
        <f aca="false">IF(N(D299)=0,"",IF(M299&lt;N299,"Treat","Replace"))</f>
        <v/>
      </c>
      <c r="Q299" s="43"/>
      <c r="R299" s="37"/>
      <c r="S299" s="37" t="str">
        <f aca="false">IF(R299="","",EDATE(R299,ROUND('Ash EAB'!$B$12*12,0)))</f>
        <v/>
      </c>
      <c r="T299" s="47"/>
      <c r="U299" s="12"/>
    </row>
    <row r="300" customFormat="false" ht="15" hidden="false" customHeight="true" outlineLevel="0" collapsed="false">
      <c r="A300" s="43"/>
      <c r="B300" s="81"/>
      <c r="C300" s="12"/>
      <c r="D300" s="42"/>
      <c r="E300" s="85"/>
      <c r="F300" s="47"/>
      <c r="G300" s="47"/>
      <c r="H300" s="47"/>
      <c r="I300" s="47"/>
      <c r="J300" s="12" t="str">
        <f aca="false">IF(N(D300)=0,"",IF(N(E300)&gt;0.5,IF(I300="Y","REMOVE NOW: target at risk","REMOVE NOW"),IF(N(E300)&gt;=0.3,"GRAY ZONE: assess structure",IF(G300="High","TREAT",IF(F300="Y","REMOVE AND REPLACE","PLANT FIRST, REMOVE LATER")))))</f>
        <v/>
      </c>
      <c r="K300" s="12" t="str">
        <f aca="false">IF(N(D300)=0,"",IF(J300="TREAT","Successor if space: ","")&amp;IF(H300="Wet","Quercus bicolor or Malus fusca",IF(H300="Riparian","Natives only: Malus fusca, Salix, Q. garryana on edges",IF(H300="Upland","Quercus garryana or Q. macrocarpa","Set site type"))))</f>
        <v/>
      </c>
      <c r="L300" s="54" t="str">
        <f aca="false">IF(N(D300)=0,"",D300*'Ash EAB'!$B$11)</f>
        <v/>
      </c>
      <c r="M300" s="54" t="str">
        <f aca="false">IF(N(D300)=0,"",L300*ROUNDUP('Ash EAB'!$B$17/'Ash EAB'!$B$12,0))</f>
        <v/>
      </c>
      <c r="N300" s="54" t="str">
        <f aca="false">IF(N(D300)=0,"",D300*'Ash EAB'!$B$13+'Ash EAB'!$B$15)</f>
        <v/>
      </c>
      <c r="O300" s="54" t="str">
        <f aca="false">IF(N(D300)=0,"",D300*'Ash EAB'!$B$13*'Ash EAB'!$B$14+'Ash EAB'!$B$15)</f>
        <v/>
      </c>
      <c r="P300" s="47" t="str">
        <f aca="false">IF(N(D300)=0,"",IF(M300&lt;N300,"Treat","Replace"))</f>
        <v/>
      </c>
      <c r="Q300" s="43"/>
      <c r="R300" s="37"/>
      <c r="S300" s="37" t="str">
        <f aca="false">IF(R300="","",EDATE(R300,ROUND('Ash EAB'!$B$12*12,0)))</f>
        <v/>
      </c>
      <c r="T300" s="47"/>
      <c r="U300" s="12"/>
    </row>
    <row r="301" customFormat="false" ht="15" hidden="false" customHeight="true" outlineLevel="0" collapsed="false">
      <c r="A301" s="43"/>
      <c r="B301" s="81"/>
      <c r="C301" s="12"/>
      <c r="D301" s="42"/>
      <c r="E301" s="85"/>
      <c r="F301" s="47"/>
      <c r="G301" s="47"/>
      <c r="H301" s="47"/>
      <c r="I301" s="47"/>
      <c r="J301" s="12" t="str">
        <f aca="false">IF(N(D301)=0,"",IF(N(E301)&gt;0.5,IF(I301="Y","REMOVE NOW: target at risk","REMOVE NOW"),IF(N(E301)&gt;=0.3,"GRAY ZONE: assess structure",IF(G301="High","TREAT",IF(F301="Y","REMOVE AND REPLACE","PLANT FIRST, REMOVE LATER")))))</f>
        <v/>
      </c>
      <c r="K301" s="12" t="str">
        <f aca="false">IF(N(D301)=0,"",IF(J301="TREAT","Successor if space: ","")&amp;IF(H301="Wet","Quercus bicolor or Malus fusca",IF(H301="Riparian","Natives only: Malus fusca, Salix, Q. garryana on edges",IF(H301="Upland","Quercus garryana or Q. macrocarpa","Set site type"))))</f>
        <v/>
      </c>
      <c r="L301" s="54" t="str">
        <f aca="false">IF(N(D301)=0,"",D301*'Ash EAB'!$B$11)</f>
        <v/>
      </c>
      <c r="M301" s="54" t="str">
        <f aca="false">IF(N(D301)=0,"",L301*ROUNDUP('Ash EAB'!$B$17/'Ash EAB'!$B$12,0))</f>
        <v/>
      </c>
      <c r="N301" s="54" t="str">
        <f aca="false">IF(N(D301)=0,"",D301*'Ash EAB'!$B$13+'Ash EAB'!$B$15)</f>
        <v/>
      </c>
      <c r="O301" s="54" t="str">
        <f aca="false">IF(N(D301)=0,"",D301*'Ash EAB'!$B$13*'Ash EAB'!$B$14+'Ash EAB'!$B$15)</f>
        <v/>
      </c>
      <c r="P301" s="47" t="str">
        <f aca="false">IF(N(D301)=0,"",IF(M301&lt;N301,"Treat","Replace"))</f>
        <v/>
      </c>
      <c r="Q301" s="43"/>
      <c r="R301" s="37"/>
      <c r="S301" s="37" t="str">
        <f aca="false">IF(R301="","",EDATE(R301,ROUND('Ash EAB'!$B$12*12,0)))</f>
        <v/>
      </c>
      <c r="T301" s="47"/>
      <c r="U301" s="12"/>
    </row>
    <row r="302" customFormat="false" ht="15" hidden="false" customHeight="true" outlineLevel="0" collapsed="false">
      <c r="A302" s="43"/>
      <c r="B302" s="81"/>
      <c r="C302" s="12"/>
      <c r="D302" s="42"/>
      <c r="E302" s="85"/>
      <c r="F302" s="47"/>
      <c r="G302" s="47"/>
      <c r="H302" s="47"/>
      <c r="I302" s="47"/>
      <c r="J302" s="12" t="str">
        <f aca="false">IF(N(D302)=0,"",IF(N(E302)&gt;0.5,IF(I302="Y","REMOVE NOW: target at risk","REMOVE NOW"),IF(N(E302)&gt;=0.3,"GRAY ZONE: assess structure",IF(G302="High","TREAT",IF(F302="Y","REMOVE AND REPLACE","PLANT FIRST, REMOVE LATER")))))</f>
        <v/>
      </c>
      <c r="K302" s="12" t="str">
        <f aca="false">IF(N(D302)=0,"",IF(J302="TREAT","Successor if space: ","")&amp;IF(H302="Wet","Quercus bicolor or Malus fusca",IF(H302="Riparian","Natives only: Malus fusca, Salix, Q. garryana on edges",IF(H302="Upland","Quercus garryana or Q. macrocarpa","Set site type"))))</f>
        <v/>
      </c>
      <c r="L302" s="54" t="str">
        <f aca="false">IF(N(D302)=0,"",D302*'Ash EAB'!$B$11)</f>
        <v/>
      </c>
      <c r="M302" s="54" t="str">
        <f aca="false">IF(N(D302)=0,"",L302*ROUNDUP('Ash EAB'!$B$17/'Ash EAB'!$B$12,0))</f>
        <v/>
      </c>
      <c r="N302" s="54" t="str">
        <f aca="false">IF(N(D302)=0,"",D302*'Ash EAB'!$B$13+'Ash EAB'!$B$15)</f>
        <v/>
      </c>
      <c r="O302" s="54" t="str">
        <f aca="false">IF(N(D302)=0,"",D302*'Ash EAB'!$B$13*'Ash EAB'!$B$14+'Ash EAB'!$B$15)</f>
        <v/>
      </c>
      <c r="P302" s="47" t="str">
        <f aca="false">IF(N(D302)=0,"",IF(M302&lt;N302,"Treat","Replace"))</f>
        <v/>
      </c>
      <c r="Q302" s="43"/>
      <c r="R302" s="37"/>
      <c r="S302" s="37" t="str">
        <f aca="false">IF(R302="","",EDATE(R302,ROUND('Ash EAB'!$B$12*12,0)))</f>
        <v/>
      </c>
      <c r="T302" s="47"/>
      <c r="U302" s="12"/>
    </row>
    <row r="304" customFormat="false" ht="25.5" hidden="false" customHeight="true" outlineLevel="0" collapsed="false">
      <c r="A304" s="17" t="s">
        <v>1031</v>
      </c>
      <c r="B304" s="17"/>
      <c r="C304" s="17"/>
      <c r="D304" s="17"/>
      <c r="E304" s="17"/>
      <c r="F304" s="17"/>
      <c r="G304" s="17"/>
      <c r="H304" s="17"/>
      <c r="I304" s="17"/>
      <c r="J304" s="17"/>
      <c r="K304" s="17"/>
      <c r="L304" s="17"/>
    </row>
    <row r="305" customFormat="false" ht="25.5" hidden="false" customHeight="true" outlineLevel="0" collapsed="false">
      <c r="A305" s="17" t="s">
        <v>1032</v>
      </c>
      <c r="B305" s="17"/>
      <c r="C305" s="17"/>
      <c r="D305" s="17"/>
      <c r="E305" s="17"/>
      <c r="F305" s="17"/>
      <c r="G305" s="17"/>
      <c r="H305" s="17"/>
      <c r="I305" s="17"/>
      <c r="J305" s="17"/>
      <c r="K305" s="17"/>
      <c r="L305" s="17"/>
    </row>
    <row r="306" customFormat="false" ht="25.5" hidden="false" customHeight="true" outlineLevel="0" collapsed="false">
      <c r="A306" s="17" t="s">
        <v>1033</v>
      </c>
      <c r="B306" s="17"/>
      <c r="C306" s="17"/>
      <c r="D306" s="17"/>
      <c r="E306" s="17"/>
      <c r="F306" s="17"/>
      <c r="G306" s="17"/>
      <c r="H306" s="17"/>
      <c r="I306" s="17"/>
      <c r="J306" s="17"/>
      <c r="K306" s="17"/>
      <c r="L306" s="17"/>
    </row>
  </sheetData>
  <autoFilter ref="A1:U302"/>
  <mergeCells count="3">
    <mergeCell ref="A304:L304"/>
    <mergeCell ref="A305:L305"/>
    <mergeCell ref="A306:L306"/>
  </mergeCells>
  <conditionalFormatting sqref="J2:J302">
    <cfRule type="expression" priority="2" aboveAverage="0" equalAverage="0" bottom="0" percent="0" rank="0" text="" dxfId="0">
      <formula>LEFT(J2,10)="REMOVE NOW"</formula>
    </cfRule>
    <cfRule type="expression" priority="3" aboveAverage="0" equalAverage="0" bottom="0" percent="0" rank="0" text="" dxfId="1">
      <formula>LEFT(J2,4)="GRAY"</formula>
    </cfRule>
    <cfRule type="expression" priority="4" aboveAverage="0" equalAverage="0" bottom="0" percent="0" rank="0" text="" dxfId="9">
      <formula>J2="TREAT"</formula>
    </cfRule>
  </conditionalFormatting>
  <conditionalFormatting sqref="S2:S302">
    <cfRule type="expression" priority="5" aboveAverage="0" equalAverage="0" bottom="0" percent="0" rank="0" text="" dxfId="0">
      <formula>AND(ISNUMBER(S2),S2&lt;TODAY())</formula>
    </cfRule>
    <cfRule type="expression" priority="6" aboveAverage="0" equalAverage="0" bottom="0" percent="0" rank="0" text="" dxfId="1">
      <formula>AND(ISNUMBER(S2),S2&lt;TODAY()+60)</formula>
    </cfRule>
  </conditionalFormatting>
  <dataValidations count="5">
    <dataValidation allowBlank="true" errorStyle="warning" operator="between" showDropDown="false" showErrorMessage="true" showInputMessage="false" sqref="F2:F302 I2:I302" type="list">
      <formula1>Lists!$L$2:$L$3</formula1>
      <formula2>0</formula2>
    </dataValidation>
    <dataValidation allowBlank="true" errorStyle="warning" operator="between" showDropDown="false" showErrorMessage="true" showInputMessage="false" sqref="G2:G302" type="list">
      <formula1>Lists!$J$2:$J$4</formula1>
      <formula2>0</formula2>
    </dataValidation>
    <dataValidation allowBlank="true" errorStyle="warning" operator="between" showDropDown="false" showErrorMessage="true" showInputMessage="false" sqref="H2:H302" type="list">
      <formula1>Lists!$K$2:$K$4</formula1>
      <formula2>0</formula2>
    </dataValidation>
    <dataValidation allowBlank="true" errorStyle="warning" operator="between" showDropDown="false" showErrorMessage="true" showInputMessage="false" sqref="Q2:Q302" type="list">
      <formula1>Lists!$M$2:$M$7</formula1>
      <formula2>0</formula2>
    </dataValidation>
    <dataValidation allowBlank="true" error="Enter dieback as a percent, for example 25%." errorStyle="warning" errorTitle="Dieback" operator="between" showDropDown="false" showErrorMessage="true" showInputMessage="false" sqref="E2:E302"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K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8"/>
    <col collapsed="false" customWidth="true" hidden="false" outlineLevel="0" max="3" min="3" style="1" width="15"/>
    <col collapsed="false" customWidth="true" hidden="false" outlineLevel="0" max="4" min="4" style="1" width="16"/>
    <col collapsed="false" customWidth="true" hidden="false" outlineLevel="0" max="10" min="5" style="1" width="10"/>
    <col collapsed="false" customWidth="true" hidden="false" outlineLevel="0" max="11" min="11" style="1" width="20"/>
  </cols>
  <sheetData>
    <row r="1" customFormat="false" ht="21.75" hidden="false" customHeight="true" outlineLevel="0" collapsed="false">
      <c r="A1" s="20" t="s">
        <v>1034</v>
      </c>
      <c r="B1" s="20"/>
      <c r="C1" s="20"/>
      <c r="D1" s="20"/>
      <c r="E1" s="20"/>
      <c r="F1" s="20"/>
      <c r="G1" s="20"/>
      <c r="H1" s="20"/>
      <c r="I1" s="20"/>
      <c r="J1" s="20"/>
      <c r="K1" s="20"/>
    </row>
    <row r="2" customFormat="false" ht="18" hidden="false" customHeight="true" outlineLevel="0" collapsed="false">
      <c r="A2" s="3" t="s">
        <v>1035</v>
      </c>
      <c r="B2" s="3"/>
      <c r="C2" s="3"/>
      <c r="D2" s="3"/>
      <c r="E2" s="3"/>
      <c r="F2" s="3"/>
      <c r="G2" s="3"/>
      <c r="H2" s="3"/>
      <c r="I2" s="3"/>
      <c r="J2" s="3"/>
      <c r="K2" s="3"/>
    </row>
    <row r="4" customFormat="false" ht="15.75" hidden="false" customHeight="true" outlineLevel="0" collapsed="false">
      <c r="A4" s="4" t="s">
        <v>1036</v>
      </c>
      <c r="B4" s="4"/>
      <c r="C4" s="4"/>
      <c r="D4" s="4"/>
      <c r="E4" s="4"/>
      <c r="F4" s="4"/>
      <c r="G4" s="4"/>
      <c r="H4" s="4"/>
      <c r="I4" s="4"/>
      <c r="J4" s="4"/>
      <c r="K4" s="4"/>
    </row>
    <row r="5" customFormat="false" ht="15" hidden="false" customHeight="true" outlineLevel="0" collapsed="false">
      <c r="A5" s="6" t="s">
        <v>1037</v>
      </c>
      <c r="B5" s="44" t="n">
        <f aca="false">COUNTA('Install Log'!$G$3:$G$202)</f>
        <v>0</v>
      </c>
      <c r="C5" s="44"/>
    </row>
    <row r="6" customFormat="false" ht="15" hidden="false" customHeight="true" outlineLevel="0" collapsed="false">
      <c r="A6" s="6" t="s">
        <v>1038</v>
      </c>
      <c r="B6" s="86" t="n">
        <f aca="false">SUM('Install Log'!$J$3:$J$202)</f>
        <v>0</v>
      </c>
      <c r="C6" s="86"/>
    </row>
    <row r="7" customFormat="false" ht="15" hidden="false" customHeight="true" outlineLevel="0" collapsed="false">
      <c r="A7" s="6" t="s">
        <v>1039</v>
      </c>
      <c r="B7" s="86" t="n">
        <f aca="false">SUMIFS('Install Log'!$J$3:$J$202,'Install Log'!$R$3:$R$202,"&lt;&gt;")</f>
        <v>0</v>
      </c>
      <c r="C7" s="86"/>
    </row>
    <row r="8" customFormat="false" ht="15" hidden="false" customHeight="true" outlineLevel="0" collapsed="false">
      <c r="A8" s="6" t="s">
        <v>1040</v>
      </c>
      <c r="B8" s="86" t="n">
        <f aca="false">SUM('Install Log'!$R$3:$R$202)</f>
        <v>0</v>
      </c>
      <c r="C8" s="86"/>
    </row>
    <row r="9" customFormat="false" ht="15" hidden="false" customHeight="true" outlineLevel="0" collapsed="false">
      <c r="A9" s="6" t="s">
        <v>1041</v>
      </c>
      <c r="B9" s="87" t="str">
        <f aca="false">IF(B7=0,"—",B8/B7)</f>
        <v>—</v>
      </c>
      <c r="C9" s="87"/>
    </row>
    <row r="10" customFormat="false" ht="15" hidden="false" customHeight="true" outlineLevel="0" collapsed="false">
      <c r="A10" s="6" t="s">
        <v>1042</v>
      </c>
      <c r="B10" s="44" t="n">
        <f aca="false">COUNTIF('Install Log'!$H$3:$H$202,"NOT IN PALETTE")</f>
        <v>0</v>
      </c>
      <c r="C10" s="44"/>
    </row>
    <row r="11" customFormat="false" ht="15" hidden="false" customHeight="true" outlineLevel="0" collapsed="false">
      <c r="A11" s="6" t="s">
        <v>1043</v>
      </c>
      <c r="B11" s="87" t="str">
        <f aca="false">IF(B6=0,"—",SUMIF('Install Log'!$H$3:$H$202,"B",'Install Log'!$J$3:$J$202)/B6)</f>
        <v>—</v>
      </c>
      <c r="C11" s="87"/>
    </row>
    <row r="12" customFormat="false" ht="15" hidden="false" customHeight="true" outlineLevel="0" collapsed="false">
      <c r="A12" s="6" t="s">
        <v>1044</v>
      </c>
      <c r="B12" s="44" t="n">
        <f aca="false">SUMIF('Install Log'!$H$3:$H$202,"C",'Install Log'!$J$3:$J$202)+SUMIF('Install Log'!$H$3:$H$202,"Reject",'Install Log'!$J$3:$J$202)</f>
        <v>0</v>
      </c>
      <c r="C12" s="44"/>
    </row>
    <row r="13" customFormat="false" ht="15" hidden="false" customHeight="true" outlineLevel="0" collapsed="false">
      <c r="A13" s="6" t="s">
        <v>1045</v>
      </c>
      <c r="B13" s="44" t="n">
        <f aca="true">COUNTIFS('Install Log'!$Q$3:$Q$202,"&lt;"&amp;TODAY())</f>
        <v>0</v>
      </c>
      <c r="C13" s="44"/>
    </row>
    <row r="15" customFormat="false" ht="15.75" hidden="false" customHeight="true" outlineLevel="0" collapsed="false">
      <c r="A15" s="4" t="s">
        <v>1046</v>
      </c>
      <c r="B15" s="4"/>
      <c r="C15" s="4"/>
      <c r="D15" s="4"/>
      <c r="E15" s="4"/>
      <c r="F15" s="4"/>
      <c r="G15" s="4"/>
      <c r="H15" s="4"/>
      <c r="I15" s="4"/>
      <c r="J15" s="4"/>
      <c r="K15" s="4"/>
    </row>
    <row r="16" customFormat="false" ht="18" hidden="false" customHeight="true" outlineLevel="0" collapsed="false">
      <c r="A16" s="5" t="s">
        <v>18</v>
      </c>
      <c r="B16" s="5" t="s">
        <v>1047</v>
      </c>
      <c r="C16" s="5" t="s">
        <v>1048</v>
      </c>
      <c r="D16" s="5" t="s">
        <v>1049</v>
      </c>
      <c r="E16" s="5" t="s">
        <v>1050</v>
      </c>
    </row>
    <row r="17" customFormat="false" ht="15" hidden="false" customHeight="true" outlineLevel="0" collapsed="false">
      <c r="A17" s="6" t="s">
        <v>208</v>
      </c>
      <c r="B17" s="42" t="n">
        <f aca="false">SUMIF('Install Log'!$D$3:$D$202,1,'Install Log'!$J$3:$J$202)</f>
        <v>0</v>
      </c>
      <c r="C17" s="42" t="n">
        <f aca="false">SUMIFS('Install Log'!$J$3:$J$202,'Install Log'!$D$3:$D$202,1,'Install Log'!$R$3:$R$202,"&lt;&gt;")</f>
        <v>0</v>
      </c>
      <c r="D17" s="42" t="n">
        <f aca="false">SUMIF('Install Log'!$D$3:$D$202,1,'Install Log'!$R$3:$R$202)</f>
        <v>0</v>
      </c>
      <c r="E17" s="88" t="str">
        <f aca="false">IF(C17=0,"—",D17/C17)</f>
        <v>—</v>
      </c>
    </row>
    <row r="18" customFormat="false" ht="15" hidden="false" customHeight="true" outlineLevel="0" collapsed="false">
      <c r="A18" s="6" t="s">
        <v>210</v>
      </c>
      <c r="B18" s="42" t="n">
        <f aca="false">SUMIF('Install Log'!$D$3:$D$202,2,'Install Log'!$J$3:$J$202)</f>
        <v>0</v>
      </c>
      <c r="C18" s="42" t="n">
        <f aca="false">SUMIFS('Install Log'!$J$3:$J$202,'Install Log'!$D$3:$D$202,2,'Install Log'!$R$3:$R$202,"&lt;&gt;")</f>
        <v>0</v>
      </c>
      <c r="D18" s="42" t="n">
        <f aca="false">SUMIF('Install Log'!$D$3:$D$202,2,'Install Log'!$R$3:$R$202)</f>
        <v>0</v>
      </c>
      <c r="E18" s="88" t="str">
        <f aca="false">IF(C18=0,"—",D18/C18)</f>
        <v>—</v>
      </c>
    </row>
    <row r="19" customFormat="false" ht="15" hidden="false" customHeight="true" outlineLevel="0" collapsed="false">
      <c r="A19" s="6" t="s">
        <v>212</v>
      </c>
      <c r="B19" s="42" t="n">
        <f aca="false">SUMIF('Install Log'!$D$3:$D$202,3,'Install Log'!$J$3:$J$202)</f>
        <v>0</v>
      </c>
      <c r="C19" s="42" t="n">
        <f aca="false">SUMIFS('Install Log'!$J$3:$J$202,'Install Log'!$D$3:$D$202,3,'Install Log'!$R$3:$R$202,"&lt;&gt;")</f>
        <v>0</v>
      </c>
      <c r="D19" s="42" t="n">
        <f aca="false">SUMIF('Install Log'!$D$3:$D$202,3,'Install Log'!$R$3:$R$202)</f>
        <v>0</v>
      </c>
      <c r="E19" s="88" t="str">
        <f aca="false">IF(C19=0,"—",D19/C19)</f>
        <v>—</v>
      </c>
    </row>
    <row r="21" customFormat="false" ht="15.75" hidden="false" customHeight="true" outlineLevel="0" collapsed="false">
      <c r="A21" s="4" t="s">
        <v>1051</v>
      </c>
      <c r="B21" s="4"/>
      <c r="C21" s="4"/>
      <c r="D21" s="4"/>
      <c r="E21" s="4"/>
      <c r="F21" s="4"/>
      <c r="G21" s="4"/>
      <c r="H21" s="4"/>
      <c r="I21" s="4"/>
      <c r="J21" s="4"/>
      <c r="K21" s="4"/>
    </row>
    <row r="22" customFormat="false" ht="18" hidden="false" customHeight="true" outlineLevel="0" collapsed="false">
      <c r="A22" s="5" t="s">
        <v>403</v>
      </c>
      <c r="B22" s="5" t="s">
        <v>1047</v>
      </c>
      <c r="C22" s="5" t="s">
        <v>1048</v>
      </c>
      <c r="D22" s="5" t="s">
        <v>1049</v>
      </c>
      <c r="E22" s="5" t="s">
        <v>1050</v>
      </c>
    </row>
    <row r="23" customFormat="false" ht="15" hidden="false" customHeight="true" outlineLevel="0" collapsed="false">
      <c r="A23" s="6" t="s">
        <v>1052</v>
      </c>
      <c r="B23" s="42" t="n">
        <f aca="false">SUMIF('Install Log'!$H$3:$H$202,"A",'Install Log'!$J$3:$J$202)</f>
        <v>0</v>
      </c>
      <c r="C23" s="42" t="n">
        <f aca="false">SUMIFS('Install Log'!$J$3:$J$202,'Install Log'!$H$3:$H$202,"A",'Install Log'!$R$3:$R$202,"&lt;&gt;")</f>
        <v>0</v>
      </c>
      <c r="D23" s="42" t="n">
        <f aca="false">SUMIF('Install Log'!$H$3:$H$202,"A",'Install Log'!$R$3:$R$202)</f>
        <v>0</v>
      </c>
      <c r="E23" s="88" t="str">
        <f aca="false">IF(C23=0,"—",D23/C23)</f>
        <v>—</v>
      </c>
    </row>
    <row r="24" customFormat="false" ht="15" hidden="false" customHeight="true" outlineLevel="0" collapsed="false">
      <c r="A24" s="6" t="s">
        <v>1053</v>
      </c>
      <c r="B24" s="42" t="n">
        <f aca="false">SUMIF('Install Log'!$H$3:$H$202,"B",'Install Log'!$J$3:$J$202)</f>
        <v>0</v>
      </c>
      <c r="C24" s="42" t="n">
        <f aca="false">SUMIFS('Install Log'!$J$3:$J$202,'Install Log'!$H$3:$H$202,"B",'Install Log'!$R$3:$R$202,"&lt;&gt;")</f>
        <v>0</v>
      </c>
      <c r="D24" s="42" t="n">
        <f aca="false">SUMIF('Install Log'!$H$3:$H$202,"B",'Install Log'!$R$3:$R$202)</f>
        <v>0</v>
      </c>
      <c r="E24" s="88" t="str">
        <f aca="false">IF(C24=0,"—",D24/C24)</f>
        <v>—</v>
      </c>
    </row>
    <row r="25" customFormat="false" ht="15" hidden="false" customHeight="true" outlineLevel="0" collapsed="false">
      <c r="A25" s="6" t="s">
        <v>1054</v>
      </c>
      <c r="B25" s="42" t="n">
        <f aca="false">SUMIF('Install Log'!$H$3:$H$202,"C",'Install Log'!$J$3:$J$202)</f>
        <v>0</v>
      </c>
      <c r="C25" s="42" t="n">
        <f aca="false">SUMIFS('Install Log'!$J$3:$J$202,'Install Log'!$H$3:$H$202,"C",'Install Log'!$R$3:$R$202,"&lt;&gt;")</f>
        <v>0</v>
      </c>
      <c r="D25" s="42" t="n">
        <f aca="false">SUMIF('Install Log'!$H$3:$H$202,"C",'Install Log'!$R$3:$R$202)</f>
        <v>0</v>
      </c>
      <c r="E25" s="88" t="str">
        <f aca="false">IF(C25=0,"—",D25/C25)</f>
        <v>—</v>
      </c>
    </row>
    <row r="27" customFormat="false" ht="15.75" hidden="false" customHeight="true" outlineLevel="0" collapsed="false">
      <c r="A27" s="4" t="s">
        <v>1055</v>
      </c>
      <c r="B27" s="4"/>
      <c r="C27" s="4"/>
      <c r="D27" s="4"/>
      <c r="E27" s="4"/>
      <c r="F27" s="4"/>
      <c r="G27" s="4"/>
      <c r="H27" s="4"/>
      <c r="I27" s="4"/>
      <c r="J27" s="4"/>
      <c r="K27" s="4"/>
    </row>
    <row r="28" customFormat="false" ht="30" hidden="false" customHeight="true" outlineLevel="0" collapsed="false">
      <c r="A28" s="17" t="s">
        <v>1056</v>
      </c>
      <c r="B28" s="17"/>
      <c r="C28" s="17"/>
      <c r="D28" s="17"/>
      <c r="E28" s="17"/>
      <c r="F28" s="17"/>
      <c r="G28" s="17"/>
      <c r="H28" s="17"/>
      <c r="I28" s="17"/>
      <c r="J28" s="17"/>
      <c r="K28" s="17"/>
    </row>
    <row r="29" customFormat="false" ht="27.75" hidden="false" customHeight="true" outlineLevel="0" collapsed="false">
      <c r="A29" s="5" t="s">
        <v>839</v>
      </c>
      <c r="B29" s="5" t="s">
        <v>403</v>
      </c>
      <c r="C29" s="5" t="s">
        <v>395</v>
      </c>
      <c r="D29" s="5" t="s">
        <v>396</v>
      </c>
      <c r="E29" s="5" t="s">
        <v>1047</v>
      </c>
      <c r="F29" s="5" t="s">
        <v>1049</v>
      </c>
      <c r="G29" s="5" t="s">
        <v>1050</v>
      </c>
      <c r="H29" s="5" t="s">
        <v>1057</v>
      </c>
      <c r="I29" s="5" t="s">
        <v>1058</v>
      </c>
      <c r="J29" s="5" t="s">
        <v>1059</v>
      </c>
      <c r="K29" s="5" t="s">
        <v>1060</v>
      </c>
    </row>
    <row r="30" customFormat="false" ht="15" hidden="false" customHeight="true" outlineLevel="0" collapsed="false">
      <c r="A30" s="43" t="str">
        <f aca="false">IF(Palette!$A2="","",Palette!$A2)</f>
        <v>Maclura pomifera 'White Shield'</v>
      </c>
      <c r="B30" s="47" t="str">
        <f aca="false">IF($A30="","",Palette!$K2)</f>
        <v>A</v>
      </c>
      <c r="C30" s="47" t="str">
        <f aca="false">IF($A30="","",Palette!$C2)</f>
        <v>Maclura</v>
      </c>
      <c r="D30" s="47" t="str">
        <f aca="false">IF($A30="","",Palette!$D2)</f>
        <v>Moraceae</v>
      </c>
      <c r="E30" s="42" t="n">
        <f aca="false">IF($A30="","",SUMIF('Install Log'!$G$3:$G$202,$A30,'Install Log'!$J$3:$J$202))</f>
        <v>0</v>
      </c>
      <c r="F30" s="42" t="n">
        <f aca="false">IF($A30="","",SUMIF('Install Log'!$G$3:$G$202,$A30,'Install Log'!$R$3:$R$202))</f>
        <v>0</v>
      </c>
      <c r="G30" s="85" t="str">
        <f aca="false">IF(OR($A30="",N($E30)=0),"",IFERROR($F30/SUMIFS('Install Log'!$J$3:$J$202,'Install Log'!$G$3:$G$202,$A30,'Install Log'!$R$3:$R$202,"&lt;&gt;"),"—"))</f>
        <v/>
      </c>
      <c r="H30" s="88" t="str">
        <f aca="false">IF(OR($A30="",$B$6=0),"",$E30/$B$6)</f>
        <v/>
      </c>
      <c r="I30" s="88" t="str">
        <f aca="false">IF(OR($A30="",$B$6=0),"",SUMIF($C$30:$C$179,$C30,$E$30:$E$179)/$B$6)</f>
        <v/>
      </c>
      <c r="J30" s="88" t="str">
        <f aca="false">IF(OR($A30="",$B$6=0),"",SUMIF($D$30:$D$179,$D30,$E$30:$E$179)/$B$6)</f>
        <v/>
      </c>
      <c r="K30" s="47" t="str">
        <f aca="false">IF(OR($A30="",N($E30)=0),"",IF($B$6&lt;'Start Here'!$B$10,"too few plants",IF(AND($H30&lt;=0.1,$I30&lt;=0.2,$J30&lt;=0.3),"ok",TRIM(IF($H30&gt;0.1,"SPECIES ","")&amp;IF($I30&gt;0.2,"GENUS ","")&amp;IF($J30&gt;0.3,"FAMILY","")))))</f>
        <v/>
      </c>
    </row>
    <row r="31" customFormat="false" ht="15" hidden="false" customHeight="true" outlineLevel="0" collapsed="false">
      <c r="A31" s="43" t="str">
        <f aca="false">IF(Palette!$A3="","",Palette!$A3)</f>
        <v>Quercus bicolor</v>
      </c>
      <c r="B31" s="47" t="str">
        <f aca="false">IF($A31="","",Palette!$K3)</f>
        <v>A</v>
      </c>
      <c r="C31" s="47" t="str">
        <f aca="false">IF($A31="","",Palette!$C3)</f>
        <v>Quercus</v>
      </c>
      <c r="D31" s="47" t="str">
        <f aca="false">IF($A31="","",Palette!$D3)</f>
        <v>Fagaceae</v>
      </c>
      <c r="E31" s="42" t="n">
        <f aca="false">IF($A31="","",SUMIF('Install Log'!$G$3:$G$202,$A31,'Install Log'!$J$3:$J$202))</f>
        <v>0</v>
      </c>
      <c r="F31" s="42" t="n">
        <f aca="false">IF($A31="","",SUMIF('Install Log'!$G$3:$G$202,$A31,'Install Log'!$R$3:$R$202))</f>
        <v>0</v>
      </c>
      <c r="G31" s="85" t="str">
        <f aca="false">IF(OR($A31="",N($E31)=0),"",IFERROR($F31/SUMIFS('Install Log'!$J$3:$J$202,'Install Log'!$G$3:$G$202,$A31,'Install Log'!$R$3:$R$202,"&lt;&gt;"),"—"))</f>
        <v/>
      </c>
      <c r="H31" s="88" t="str">
        <f aca="false">IF(OR($A31="",$B$6=0),"",$E31/$B$6)</f>
        <v/>
      </c>
      <c r="I31" s="88" t="str">
        <f aca="false">IF(OR($A31="",$B$6=0),"",SUMIF($C$30:$C$179,$C31,$E$30:$E$179)/$B$6)</f>
        <v/>
      </c>
      <c r="J31" s="88" t="str">
        <f aca="false">IF(OR($A31="",$B$6=0),"",SUMIF($D$30:$D$179,$D31,$E$30:$E$179)/$B$6)</f>
        <v/>
      </c>
      <c r="K31" s="47" t="str">
        <f aca="false">IF(OR($A31="",N($E31)=0),"",IF($B$6&lt;'Start Here'!$B$10,"too few plants",IF(AND($H31&lt;=0.1,$I31&lt;=0.2,$J31&lt;=0.3),"ok",TRIM(IF($H31&gt;0.1,"SPECIES ","")&amp;IF($I31&gt;0.2,"GENUS ","")&amp;IF($J31&gt;0.3,"FAMILY","")))))</f>
        <v/>
      </c>
    </row>
    <row r="32" customFormat="false" ht="15" hidden="false" customHeight="true" outlineLevel="0" collapsed="false">
      <c r="A32" s="43" t="str">
        <f aca="false">IF(Palette!$A4="","",Palette!$A4)</f>
        <v>Quercus garryana</v>
      </c>
      <c r="B32" s="47" t="str">
        <f aca="false">IF($A32="","",Palette!$K4)</f>
        <v>A</v>
      </c>
      <c r="C32" s="47" t="str">
        <f aca="false">IF($A32="","",Palette!$C4)</f>
        <v>Quercus</v>
      </c>
      <c r="D32" s="47" t="str">
        <f aca="false">IF($A32="","",Palette!$D4)</f>
        <v>Fagaceae</v>
      </c>
      <c r="E32" s="42" t="n">
        <f aca="false">IF($A32="","",SUMIF('Install Log'!$G$3:$G$202,$A32,'Install Log'!$J$3:$J$202))</f>
        <v>0</v>
      </c>
      <c r="F32" s="42" t="n">
        <f aca="false">IF($A32="","",SUMIF('Install Log'!$G$3:$G$202,$A32,'Install Log'!$R$3:$R$202))</f>
        <v>0</v>
      </c>
      <c r="G32" s="85" t="str">
        <f aca="false">IF(OR($A32="",N($E32)=0),"",IFERROR($F32/SUMIFS('Install Log'!$J$3:$J$202,'Install Log'!$G$3:$G$202,$A32,'Install Log'!$R$3:$R$202,"&lt;&gt;"),"—"))</f>
        <v/>
      </c>
      <c r="H32" s="88" t="str">
        <f aca="false">IF(OR($A32="",$B$6=0),"",$E32/$B$6)</f>
        <v/>
      </c>
      <c r="I32" s="88" t="str">
        <f aca="false">IF(OR($A32="",$B$6=0),"",SUMIF($C$30:$C$179,$C32,$E$30:$E$179)/$B$6)</f>
        <v/>
      </c>
      <c r="J32" s="88" t="str">
        <f aca="false">IF(OR($A32="",$B$6=0),"",SUMIF($D$30:$D$179,$D32,$E$30:$E$179)/$B$6)</f>
        <v/>
      </c>
      <c r="K32" s="47" t="str">
        <f aca="false">IF(OR($A32="",N($E32)=0),"",IF($B$6&lt;'Start Here'!$B$10,"too few plants",IF(AND($H32&lt;=0.1,$I32&lt;=0.2,$J32&lt;=0.3),"ok",TRIM(IF($H32&gt;0.1,"SPECIES ","")&amp;IF($I32&gt;0.2,"GENUS ","")&amp;IF($J32&gt;0.3,"FAMILY","")))))</f>
        <v/>
      </c>
    </row>
    <row r="33" customFormat="false" ht="15" hidden="false" customHeight="true" outlineLevel="0" collapsed="false">
      <c r="A33" s="43" t="str">
        <f aca="false">IF(Palette!$A5="","",Palette!$A5)</f>
        <v>Quercus imbricaria</v>
      </c>
      <c r="B33" s="47" t="str">
        <f aca="false">IF($A33="","",Palette!$K5)</f>
        <v>A</v>
      </c>
      <c r="C33" s="47" t="str">
        <f aca="false">IF($A33="","",Palette!$C5)</f>
        <v>Quercus</v>
      </c>
      <c r="D33" s="47" t="str">
        <f aca="false">IF($A33="","",Palette!$D5)</f>
        <v>Fagaceae</v>
      </c>
      <c r="E33" s="42" t="n">
        <f aca="false">IF($A33="","",SUMIF('Install Log'!$G$3:$G$202,$A33,'Install Log'!$J$3:$J$202))</f>
        <v>0</v>
      </c>
      <c r="F33" s="42" t="n">
        <f aca="false">IF($A33="","",SUMIF('Install Log'!$G$3:$G$202,$A33,'Install Log'!$R$3:$R$202))</f>
        <v>0</v>
      </c>
      <c r="G33" s="85" t="str">
        <f aca="false">IF(OR($A33="",N($E33)=0),"",IFERROR($F33/SUMIFS('Install Log'!$J$3:$J$202,'Install Log'!$G$3:$G$202,$A33,'Install Log'!$R$3:$R$202,"&lt;&gt;"),"—"))</f>
        <v/>
      </c>
      <c r="H33" s="88" t="str">
        <f aca="false">IF(OR($A33="",$B$6=0),"",$E33/$B$6)</f>
        <v/>
      </c>
      <c r="I33" s="88" t="str">
        <f aca="false">IF(OR($A33="",$B$6=0),"",SUMIF($C$30:$C$179,$C33,$E$30:$E$179)/$B$6)</f>
        <v/>
      </c>
      <c r="J33" s="88" t="str">
        <f aca="false">IF(OR($A33="",$B$6=0),"",SUMIF($D$30:$D$179,$D33,$E$30:$E$179)/$B$6)</f>
        <v/>
      </c>
      <c r="K33" s="47" t="str">
        <f aca="false">IF(OR($A33="",N($E33)=0),"",IF($B$6&lt;'Start Here'!$B$10,"too few plants",IF(AND($H33&lt;=0.1,$I33&lt;=0.2,$J33&lt;=0.3),"ok",TRIM(IF($H33&gt;0.1,"SPECIES ","")&amp;IF($I33&gt;0.2,"GENUS ","")&amp;IF($J33&gt;0.3,"FAMILY","")))))</f>
        <v/>
      </c>
    </row>
    <row r="34" customFormat="false" ht="15" hidden="false" customHeight="true" outlineLevel="0" collapsed="false">
      <c r="A34" s="43" t="str">
        <f aca="false">IF(Palette!$A6="","",Palette!$A6)</f>
        <v>Quercus macrocarpa</v>
      </c>
      <c r="B34" s="47" t="str">
        <f aca="false">IF($A34="","",Palette!$K6)</f>
        <v>A</v>
      </c>
      <c r="C34" s="47" t="str">
        <f aca="false">IF($A34="","",Palette!$C6)</f>
        <v>Quercus</v>
      </c>
      <c r="D34" s="47" t="str">
        <f aca="false">IF($A34="","",Palette!$D6)</f>
        <v>Fagaceae</v>
      </c>
      <c r="E34" s="42" t="n">
        <f aca="false">IF($A34="","",SUMIF('Install Log'!$G$3:$G$202,$A34,'Install Log'!$J$3:$J$202))</f>
        <v>0</v>
      </c>
      <c r="F34" s="42" t="n">
        <f aca="false">IF($A34="","",SUMIF('Install Log'!$G$3:$G$202,$A34,'Install Log'!$R$3:$R$202))</f>
        <v>0</v>
      </c>
      <c r="G34" s="85" t="str">
        <f aca="false">IF(OR($A34="",N($E34)=0),"",IFERROR($F34/SUMIFS('Install Log'!$J$3:$J$202,'Install Log'!$G$3:$G$202,$A34,'Install Log'!$R$3:$R$202,"&lt;&gt;"),"—"))</f>
        <v/>
      </c>
      <c r="H34" s="88" t="str">
        <f aca="false">IF(OR($A34="",$B$6=0),"",$E34/$B$6)</f>
        <v/>
      </c>
      <c r="I34" s="88" t="str">
        <f aca="false">IF(OR($A34="",$B$6=0),"",SUMIF($C$30:$C$179,$C34,$E$30:$E$179)/$B$6)</f>
        <v/>
      </c>
      <c r="J34" s="88" t="str">
        <f aca="false">IF(OR($A34="",$B$6=0),"",SUMIF($D$30:$D$179,$D34,$E$30:$E$179)/$B$6)</f>
        <v/>
      </c>
      <c r="K34" s="47" t="str">
        <f aca="false">IF(OR($A34="",N($E34)=0),"",IF($B$6&lt;'Start Here'!$B$10,"too few plants",IF(AND($H34&lt;=0.1,$I34&lt;=0.2,$J34&lt;=0.3),"ok",TRIM(IF($H34&gt;0.1,"SPECIES ","")&amp;IF($I34&gt;0.2,"GENUS ","")&amp;IF($J34&gt;0.3,"FAMILY","")))))</f>
        <v/>
      </c>
    </row>
    <row r="35" customFormat="false" ht="15" hidden="false" customHeight="true" outlineLevel="0" collapsed="false">
      <c r="A35" s="43" t="str">
        <f aca="false">IF(Palette!$A7="","",Palette!$A7)</f>
        <v>Calocedrus decurrens</v>
      </c>
      <c r="B35" s="47" t="str">
        <f aca="false">IF($A35="","",Palette!$K7)</f>
        <v>A</v>
      </c>
      <c r="C35" s="47" t="str">
        <f aca="false">IF($A35="","",Palette!$C7)</f>
        <v>Calocedrus</v>
      </c>
      <c r="D35" s="47" t="str">
        <f aca="false">IF($A35="","",Palette!$D7)</f>
        <v>Cupressaceae</v>
      </c>
      <c r="E35" s="42" t="n">
        <f aca="false">IF($A35="","",SUMIF('Install Log'!$G$3:$G$202,$A35,'Install Log'!$J$3:$J$202))</f>
        <v>0</v>
      </c>
      <c r="F35" s="42" t="n">
        <f aca="false">IF($A35="","",SUMIF('Install Log'!$G$3:$G$202,$A35,'Install Log'!$R$3:$R$202))</f>
        <v>0</v>
      </c>
      <c r="G35" s="85" t="str">
        <f aca="false">IF(OR($A35="",N($E35)=0),"",IFERROR($F35/SUMIFS('Install Log'!$J$3:$J$202,'Install Log'!$G$3:$G$202,$A35,'Install Log'!$R$3:$R$202,"&lt;&gt;"),"—"))</f>
        <v/>
      </c>
      <c r="H35" s="88" t="str">
        <f aca="false">IF(OR($A35="",$B$6=0),"",$E35/$B$6)</f>
        <v/>
      </c>
      <c r="I35" s="88" t="str">
        <f aca="false">IF(OR($A35="",$B$6=0),"",SUMIF($C$30:$C$179,$C35,$E$30:$E$179)/$B$6)</f>
        <v/>
      </c>
      <c r="J35" s="88" t="str">
        <f aca="false">IF(OR($A35="",$B$6=0),"",SUMIF($D$30:$D$179,$D35,$E$30:$E$179)/$B$6)</f>
        <v/>
      </c>
      <c r="K35" s="47" t="str">
        <f aca="false">IF(OR($A35="",N($E35)=0),"",IF($B$6&lt;'Start Here'!$B$10,"too few plants",IF(AND($H35&lt;=0.1,$I35&lt;=0.2,$J35&lt;=0.3),"ok",TRIM(IF($H35&gt;0.1,"SPECIES ","")&amp;IF($I35&gt;0.2,"GENUS ","")&amp;IF($J35&gt;0.3,"FAMILY","")))))</f>
        <v/>
      </c>
    </row>
    <row r="36" customFormat="false" ht="15" hidden="false" customHeight="true" outlineLevel="0" collapsed="false">
      <c r="A36" s="43" t="str">
        <f aca="false">IF(Palette!$A8="","",Palette!$A8)</f>
        <v>Pinus ponderosa</v>
      </c>
      <c r="B36" s="47" t="str">
        <f aca="false">IF($A36="","",Palette!$K8)</f>
        <v>A</v>
      </c>
      <c r="C36" s="47" t="str">
        <f aca="false">IF($A36="","",Palette!$C8)</f>
        <v>Pinus</v>
      </c>
      <c r="D36" s="47" t="str">
        <f aca="false">IF($A36="","",Palette!$D8)</f>
        <v>Pinaceae</v>
      </c>
      <c r="E36" s="42" t="n">
        <f aca="false">IF($A36="","",SUMIF('Install Log'!$G$3:$G$202,$A36,'Install Log'!$J$3:$J$202))</f>
        <v>0</v>
      </c>
      <c r="F36" s="42" t="n">
        <f aca="false">IF($A36="","",SUMIF('Install Log'!$G$3:$G$202,$A36,'Install Log'!$R$3:$R$202))</f>
        <v>0</v>
      </c>
      <c r="G36" s="85" t="str">
        <f aca="false">IF(OR($A36="",N($E36)=0),"",IFERROR($F36/SUMIFS('Install Log'!$J$3:$J$202,'Install Log'!$G$3:$G$202,$A36,'Install Log'!$R$3:$R$202,"&lt;&gt;"),"—"))</f>
        <v/>
      </c>
      <c r="H36" s="88" t="str">
        <f aca="false">IF(OR($A36="",$B$6=0),"",$E36/$B$6)</f>
        <v/>
      </c>
      <c r="I36" s="88" t="str">
        <f aca="false">IF(OR($A36="",$B$6=0),"",SUMIF($C$30:$C$179,$C36,$E$30:$E$179)/$B$6)</f>
        <v/>
      </c>
      <c r="J36" s="88" t="str">
        <f aca="false">IF(OR($A36="",$B$6=0),"",SUMIF($D$30:$D$179,$D36,$E$30:$E$179)/$B$6)</f>
        <v/>
      </c>
      <c r="K36" s="47" t="str">
        <f aca="false">IF(OR($A36="",N($E36)=0),"",IF($B$6&lt;'Start Here'!$B$10,"too few plants",IF(AND($H36&lt;=0.1,$I36&lt;=0.2,$J36&lt;=0.3),"ok",TRIM(IF($H36&gt;0.1,"SPECIES ","")&amp;IF($I36&gt;0.2,"GENUS ","")&amp;IF($J36&gt;0.3,"FAMILY","")))))</f>
        <v/>
      </c>
    </row>
    <row r="37" customFormat="false" ht="15" hidden="false" customHeight="true" outlineLevel="0" collapsed="false">
      <c r="A37" s="43" t="str">
        <f aca="false">IF(Palette!$A9="","",Palette!$A9)</f>
        <v>Amelanchier alnifolia</v>
      </c>
      <c r="B37" s="47" t="str">
        <f aca="false">IF($A37="","",Palette!$K9)</f>
        <v>A</v>
      </c>
      <c r="C37" s="47" t="str">
        <f aca="false">IF($A37="","",Palette!$C9)</f>
        <v>Amelanchier</v>
      </c>
      <c r="D37" s="47" t="str">
        <f aca="false">IF($A37="","",Palette!$D9)</f>
        <v>Rosaceae</v>
      </c>
      <c r="E37" s="42" t="n">
        <f aca="false">IF($A37="","",SUMIF('Install Log'!$G$3:$G$202,$A37,'Install Log'!$J$3:$J$202))</f>
        <v>0</v>
      </c>
      <c r="F37" s="42" t="n">
        <f aca="false">IF($A37="","",SUMIF('Install Log'!$G$3:$G$202,$A37,'Install Log'!$R$3:$R$202))</f>
        <v>0</v>
      </c>
      <c r="G37" s="85" t="str">
        <f aca="false">IF(OR($A37="",N($E37)=0),"",IFERROR($F37/SUMIFS('Install Log'!$J$3:$J$202,'Install Log'!$G$3:$G$202,$A37,'Install Log'!$R$3:$R$202,"&lt;&gt;"),"—"))</f>
        <v/>
      </c>
      <c r="H37" s="88" t="str">
        <f aca="false">IF(OR($A37="",$B$6=0),"",$E37/$B$6)</f>
        <v/>
      </c>
      <c r="I37" s="88" t="str">
        <f aca="false">IF(OR($A37="",$B$6=0),"",SUMIF($C$30:$C$179,$C37,$E$30:$E$179)/$B$6)</f>
        <v/>
      </c>
      <c r="J37" s="88" t="str">
        <f aca="false">IF(OR($A37="",$B$6=0),"",SUMIF($D$30:$D$179,$D37,$E$30:$E$179)/$B$6)</f>
        <v/>
      </c>
      <c r="K37" s="47" t="str">
        <f aca="false">IF(OR($A37="",N($E37)=0),"",IF($B$6&lt;'Start Here'!$B$10,"too few plants",IF(AND($H37&lt;=0.1,$I37&lt;=0.2,$J37&lt;=0.3),"ok",TRIM(IF($H37&gt;0.1,"SPECIES ","")&amp;IF($I37&gt;0.2,"GENUS ","")&amp;IF($J37&gt;0.3,"FAMILY","")))))</f>
        <v/>
      </c>
    </row>
    <row r="38" customFormat="false" ht="15" hidden="false" customHeight="true" outlineLevel="0" collapsed="false">
      <c r="A38" s="43" t="str">
        <f aca="false">IF(Palette!$A10="","",Palette!$A10)</f>
        <v>Arbutus unedo</v>
      </c>
      <c r="B38" s="47" t="str">
        <f aca="false">IF($A38="","",Palette!$K10)</f>
        <v>A</v>
      </c>
      <c r="C38" s="47" t="str">
        <f aca="false">IF($A38="","",Palette!$C10)</f>
        <v>Arbutus</v>
      </c>
      <c r="D38" s="47" t="str">
        <f aca="false">IF($A38="","",Palette!$D10)</f>
        <v>Ericaceae</v>
      </c>
      <c r="E38" s="42" t="n">
        <f aca="false">IF($A38="","",SUMIF('Install Log'!$G$3:$G$202,$A38,'Install Log'!$J$3:$J$202))</f>
        <v>0</v>
      </c>
      <c r="F38" s="42" t="n">
        <f aca="false">IF($A38="","",SUMIF('Install Log'!$G$3:$G$202,$A38,'Install Log'!$R$3:$R$202))</f>
        <v>0</v>
      </c>
      <c r="G38" s="85" t="str">
        <f aca="false">IF(OR($A38="",N($E38)=0),"",IFERROR($F38/SUMIFS('Install Log'!$J$3:$J$202,'Install Log'!$G$3:$G$202,$A38,'Install Log'!$R$3:$R$202,"&lt;&gt;"),"—"))</f>
        <v/>
      </c>
      <c r="H38" s="88" t="str">
        <f aca="false">IF(OR($A38="",$B$6=0),"",$E38/$B$6)</f>
        <v/>
      </c>
      <c r="I38" s="88" t="str">
        <f aca="false">IF(OR($A38="",$B$6=0),"",SUMIF($C$30:$C$179,$C38,$E$30:$E$179)/$B$6)</f>
        <v/>
      </c>
      <c r="J38" s="88" t="str">
        <f aca="false">IF(OR($A38="",$B$6=0),"",SUMIF($D$30:$D$179,$D38,$E$30:$E$179)/$B$6)</f>
        <v/>
      </c>
      <c r="K38" s="47" t="str">
        <f aca="false">IF(OR($A38="",N($E38)=0),"",IF($B$6&lt;'Start Here'!$B$10,"too few plants",IF(AND($H38&lt;=0.1,$I38&lt;=0.2,$J38&lt;=0.3),"ok",TRIM(IF($H38&gt;0.1,"SPECIES ","")&amp;IF($I38&gt;0.2,"GENUS ","")&amp;IF($J38&gt;0.3,"FAMILY","")))))</f>
        <v/>
      </c>
    </row>
    <row r="39" customFormat="false" ht="15" hidden="false" customHeight="true" outlineLevel="0" collapsed="false">
      <c r="A39" s="43" t="str">
        <f aca="false">IF(Palette!$A11="","",Palette!$A11)</f>
        <v>Cotinus coggygria</v>
      </c>
      <c r="B39" s="47" t="str">
        <f aca="false">IF($A39="","",Palette!$K11)</f>
        <v>A</v>
      </c>
      <c r="C39" s="47" t="str">
        <f aca="false">IF($A39="","",Palette!$C11)</f>
        <v>Cotinus</v>
      </c>
      <c r="D39" s="47" t="str">
        <f aca="false">IF($A39="","",Palette!$D11)</f>
        <v>Anacardiaceae</v>
      </c>
      <c r="E39" s="42" t="n">
        <f aca="false">IF($A39="","",SUMIF('Install Log'!$G$3:$G$202,$A39,'Install Log'!$J$3:$J$202))</f>
        <v>0</v>
      </c>
      <c r="F39" s="42" t="n">
        <f aca="false">IF($A39="","",SUMIF('Install Log'!$G$3:$G$202,$A39,'Install Log'!$R$3:$R$202))</f>
        <v>0</v>
      </c>
      <c r="G39" s="85" t="str">
        <f aca="false">IF(OR($A39="",N($E39)=0),"",IFERROR($F39/SUMIFS('Install Log'!$J$3:$J$202,'Install Log'!$G$3:$G$202,$A39,'Install Log'!$R$3:$R$202,"&lt;&gt;"),"—"))</f>
        <v/>
      </c>
      <c r="H39" s="88" t="str">
        <f aca="false">IF(OR($A39="",$B$6=0),"",$E39/$B$6)</f>
        <v/>
      </c>
      <c r="I39" s="88" t="str">
        <f aca="false">IF(OR($A39="",$B$6=0),"",SUMIF($C$30:$C$179,$C39,$E$30:$E$179)/$B$6)</f>
        <v/>
      </c>
      <c r="J39" s="88" t="str">
        <f aca="false">IF(OR($A39="",$B$6=0),"",SUMIF($D$30:$D$179,$D39,$E$30:$E$179)/$B$6)</f>
        <v/>
      </c>
      <c r="K39" s="47" t="str">
        <f aca="false">IF(OR($A39="",N($E39)=0),"",IF($B$6&lt;'Start Here'!$B$10,"too few plants",IF(AND($H39&lt;=0.1,$I39&lt;=0.2,$J39&lt;=0.3),"ok",TRIM(IF($H39&gt;0.1,"SPECIES ","")&amp;IF($I39&gt;0.2,"GENUS ","")&amp;IF($J39&gt;0.3,"FAMILY","")))))</f>
        <v/>
      </c>
    </row>
    <row r="40" customFormat="false" ht="15" hidden="false" customHeight="true" outlineLevel="0" collapsed="false">
      <c r="A40" s="43" t="str">
        <f aca="false">IF(Palette!$A12="","",Palette!$A12)</f>
        <v>Maackia amurensis</v>
      </c>
      <c r="B40" s="47" t="str">
        <f aca="false">IF($A40="","",Palette!$K12)</f>
        <v>A</v>
      </c>
      <c r="C40" s="47" t="str">
        <f aca="false">IF($A40="","",Palette!$C12)</f>
        <v>Maackia</v>
      </c>
      <c r="D40" s="47" t="str">
        <f aca="false">IF($A40="","",Palette!$D12)</f>
        <v>Fabaceae</v>
      </c>
      <c r="E40" s="42" t="n">
        <f aca="false">IF($A40="","",SUMIF('Install Log'!$G$3:$G$202,$A40,'Install Log'!$J$3:$J$202))</f>
        <v>0</v>
      </c>
      <c r="F40" s="42" t="n">
        <f aca="false">IF($A40="","",SUMIF('Install Log'!$G$3:$G$202,$A40,'Install Log'!$R$3:$R$202))</f>
        <v>0</v>
      </c>
      <c r="G40" s="85" t="str">
        <f aca="false">IF(OR($A40="",N($E40)=0),"",IFERROR($F40/SUMIFS('Install Log'!$J$3:$J$202,'Install Log'!$G$3:$G$202,$A40,'Install Log'!$R$3:$R$202,"&lt;&gt;"),"—"))</f>
        <v/>
      </c>
      <c r="H40" s="88" t="str">
        <f aca="false">IF(OR($A40="",$B$6=0),"",$E40/$B$6)</f>
        <v/>
      </c>
      <c r="I40" s="88" t="str">
        <f aca="false">IF(OR($A40="",$B$6=0),"",SUMIF($C$30:$C$179,$C40,$E$30:$E$179)/$B$6)</f>
        <v/>
      </c>
      <c r="J40" s="88" t="str">
        <f aca="false">IF(OR($A40="",$B$6=0),"",SUMIF($D$30:$D$179,$D40,$E$30:$E$179)/$B$6)</f>
        <v/>
      </c>
      <c r="K40" s="47" t="str">
        <f aca="false">IF(OR($A40="",N($E40)=0),"",IF($B$6&lt;'Start Here'!$B$10,"too few plants",IF(AND($H40&lt;=0.1,$I40&lt;=0.2,$J40&lt;=0.3),"ok",TRIM(IF($H40&gt;0.1,"SPECIES ","")&amp;IF($I40&gt;0.2,"GENUS ","")&amp;IF($J40&gt;0.3,"FAMILY","")))))</f>
        <v/>
      </c>
    </row>
    <row r="41" customFormat="false" ht="15" hidden="false" customHeight="true" outlineLevel="0" collapsed="false">
      <c r="A41" s="43" t="str">
        <f aca="false">IF(Palette!$A13="","",Palette!$A13)</f>
        <v>Malus fusca</v>
      </c>
      <c r="B41" s="47" t="str">
        <f aca="false">IF($A41="","",Palette!$K13)</f>
        <v>A</v>
      </c>
      <c r="C41" s="47" t="str">
        <f aca="false">IF($A41="","",Palette!$C13)</f>
        <v>Malus</v>
      </c>
      <c r="D41" s="47" t="str">
        <f aca="false">IF($A41="","",Palette!$D13)</f>
        <v>Rosaceae</v>
      </c>
      <c r="E41" s="42" t="n">
        <f aca="false">IF($A41="","",SUMIF('Install Log'!$G$3:$G$202,$A41,'Install Log'!$J$3:$J$202))</f>
        <v>0</v>
      </c>
      <c r="F41" s="42" t="n">
        <f aca="false">IF($A41="","",SUMIF('Install Log'!$G$3:$G$202,$A41,'Install Log'!$R$3:$R$202))</f>
        <v>0</v>
      </c>
      <c r="G41" s="85" t="str">
        <f aca="false">IF(OR($A41="",N($E41)=0),"",IFERROR($F41/SUMIFS('Install Log'!$J$3:$J$202,'Install Log'!$G$3:$G$202,$A41,'Install Log'!$R$3:$R$202,"&lt;&gt;"),"—"))</f>
        <v/>
      </c>
      <c r="H41" s="88" t="str">
        <f aca="false">IF(OR($A41="",$B$6=0),"",$E41/$B$6)</f>
        <v/>
      </c>
      <c r="I41" s="88" t="str">
        <f aca="false">IF(OR($A41="",$B$6=0),"",SUMIF($C$30:$C$179,$C41,$E$30:$E$179)/$B$6)</f>
        <v/>
      </c>
      <c r="J41" s="88" t="str">
        <f aca="false">IF(OR($A41="",$B$6=0),"",SUMIF($D$30:$D$179,$D41,$E$30:$E$179)/$B$6)</f>
        <v/>
      </c>
      <c r="K41" s="47" t="str">
        <f aca="false">IF(OR($A41="",N($E41)=0),"",IF($B$6&lt;'Start Here'!$B$10,"too few plants",IF(AND($H41&lt;=0.1,$I41&lt;=0.2,$J41&lt;=0.3),"ok",TRIM(IF($H41&gt;0.1,"SPECIES ","")&amp;IF($I41&gt;0.2,"GENUS ","")&amp;IF($J41&gt;0.3,"FAMILY","")))))</f>
        <v/>
      </c>
    </row>
    <row r="42" customFormat="false" ht="15" hidden="false" customHeight="true" outlineLevel="0" collapsed="false">
      <c r="A42" s="43" t="str">
        <f aca="false">IF(Palette!$A14="","",Palette!$A14)</f>
        <v>Parrotia persica</v>
      </c>
      <c r="B42" s="47" t="str">
        <f aca="false">IF($A42="","",Palette!$K14)</f>
        <v>A</v>
      </c>
      <c r="C42" s="47" t="str">
        <f aca="false">IF($A42="","",Palette!$C14)</f>
        <v>Parrotia</v>
      </c>
      <c r="D42" s="47" t="str">
        <f aca="false">IF($A42="","",Palette!$D14)</f>
        <v>Hamamelidaceae</v>
      </c>
      <c r="E42" s="42" t="n">
        <f aca="false">IF($A42="","",SUMIF('Install Log'!$G$3:$G$202,$A42,'Install Log'!$J$3:$J$202))</f>
        <v>0</v>
      </c>
      <c r="F42" s="42" t="n">
        <f aca="false">IF($A42="","",SUMIF('Install Log'!$G$3:$G$202,$A42,'Install Log'!$R$3:$R$202))</f>
        <v>0</v>
      </c>
      <c r="G42" s="85" t="str">
        <f aca="false">IF(OR($A42="",N($E42)=0),"",IFERROR($F42/SUMIFS('Install Log'!$J$3:$J$202,'Install Log'!$G$3:$G$202,$A42,'Install Log'!$R$3:$R$202,"&lt;&gt;"),"—"))</f>
        <v/>
      </c>
      <c r="H42" s="88" t="str">
        <f aca="false">IF(OR($A42="",$B$6=0),"",$E42/$B$6)</f>
        <v/>
      </c>
      <c r="I42" s="88" t="str">
        <f aca="false">IF(OR($A42="",$B$6=0),"",SUMIF($C$30:$C$179,$C42,$E$30:$E$179)/$B$6)</f>
        <v/>
      </c>
      <c r="J42" s="88" t="str">
        <f aca="false">IF(OR($A42="",$B$6=0),"",SUMIF($D$30:$D$179,$D42,$E$30:$E$179)/$B$6)</f>
        <v/>
      </c>
      <c r="K42" s="47" t="str">
        <f aca="false">IF(OR($A42="",N($E42)=0),"",IF($B$6&lt;'Start Here'!$B$10,"too few plants",IF(AND($H42&lt;=0.1,$I42&lt;=0.2,$J42&lt;=0.3),"ok",TRIM(IF($H42&gt;0.1,"SPECIES ","")&amp;IF($I42&gt;0.2,"GENUS ","")&amp;IF($J42&gt;0.3,"FAMILY","")))))</f>
        <v/>
      </c>
    </row>
    <row r="43" customFormat="false" ht="15" hidden="false" customHeight="true" outlineLevel="0" collapsed="false">
      <c r="A43" s="43" t="str">
        <f aca="false">IF(Palette!$A15="","",Palette!$A15)</f>
        <v>Sambucus cerulea</v>
      </c>
      <c r="B43" s="47" t="str">
        <f aca="false">IF($A43="","",Palette!$K15)</f>
        <v>A</v>
      </c>
      <c r="C43" s="47" t="str">
        <f aca="false">IF($A43="","",Palette!$C15)</f>
        <v>Sambucus</v>
      </c>
      <c r="D43" s="47" t="str">
        <f aca="false">IF($A43="","",Palette!$D15)</f>
        <v>Viburnaceae</v>
      </c>
      <c r="E43" s="42" t="n">
        <f aca="false">IF($A43="","",SUMIF('Install Log'!$G$3:$G$202,$A43,'Install Log'!$J$3:$J$202))</f>
        <v>0</v>
      </c>
      <c r="F43" s="42" t="n">
        <f aca="false">IF($A43="","",SUMIF('Install Log'!$G$3:$G$202,$A43,'Install Log'!$R$3:$R$202))</f>
        <v>0</v>
      </c>
      <c r="G43" s="85" t="str">
        <f aca="false">IF(OR($A43="",N($E43)=0),"",IFERROR($F43/SUMIFS('Install Log'!$J$3:$J$202,'Install Log'!$G$3:$G$202,$A43,'Install Log'!$R$3:$R$202,"&lt;&gt;"),"—"))</f>
        <v/>
      </c>
      <c r="H43" s="88" t="str">
        <f aca="false">IF(OR($A43="",$B$6=0),"",$E43/$B$6)</f>
        <v/>
      </c>
      <c r="I43" s="88" t="str">
        <f aca="false">IF(OR($A43="",$B$6=0),"",SUMIF($C$30:$C$179,$C43,$E$30:$E$179)/$B$6)</f>
        <v/>
      </c>
      <c r="J43" s="88" t="str">
        <f aca="false">IF(OR($A43="",$B$6=0),"",SUMIF($D$30:$D$179,$D43,$E$30:$E$179)/$B$6)</f>
        <v/>
      </c>
      <c r="K43" s="47" t="str">
        <f aca="false">IF(OR($A43="",N($E43)=0),"",IF($B$6&lt;'Start Here'!$B$10,"too few plants",IF(AND($H43&lt;=0.1,$I43&lt;=0.2,$J43&lt;=0.3),"ok",TRIM(IF($H43&gt;0.1,"SPECIES ","")&amp;IF($I43&gt;0.2,"GENUS ","")&amp;IF($J43&gt;0.3,"FAMILY","")))))</f>
        <v/>
      </c>
    </row>
    <row r="44" customFormat="false" ht="15" hidden="false" customHeight="true" outlineLevel="0" collapsed="false">
      <c r="A44" s="43" t="str">
        <f aca="false">IF(Palette!$A16="","",Palette!$A16)</f>
        <v>Berberis aquifolium</v>
      </c>
      <c r="B44" s="47" t="str">
        <f aca="false">IF($A44="","",Palette!$K16)</f>
        <v>A</v>
      </c>
      <c r="C44" s="47" t="str">
        <f aca="false">IF($A44="","",Palette!$C16)</f>
        <v>Berberis</v>
      </c>
      <c r="D44" s="47" t="str">
        <f aca="false">IF($A44="","",Palette!$D16)</f>
        <v>Berberidaceae</v>
      </c>
      <c r="E44" s="42" t="n">
        <f aca="false">IF($A44="","",SUMIF('Install Log'!$G$3:$G$202,$A44,'Install Log'!$J$3:$J$202))</f>
        <v>0</v>
      </c>
      <c r="F44" s="42" t="n">
        <f aca="false">IF($A44="","",SUMIF('Install Log'!$G$3:$G$202,$A44,'Install Log'!$R$3:$R$202))</f>
        <v>0</v>
      </c>
      <c r="G44" s="85" t="str">
        <f aca="false">IF(OR($A44="",N($E44)=0),"",IFERROR($F44/SUMIFS('Install Log'!$J$3:$J$202,'Install Log'!$G$3:$G$202,$A44,'Install Log'!$R$3:$R$202,"&lt;&gt;"),"—"))</f>
        <v/>
      </c>
      <c r="H44" s="88" t="str">
        <f aca="false">IF(OR($A44="",$B$6=0),"",$E44/$B$6)</f>
        <v/>
      </c>
      <c r="I44" s="88" t="str">
        <f aca="false">IF(OR($A44="",$B$6=0),"",SUMIF($C$30:$C$179,$C44,$E$30:$E$179)/$B$6)</f>
        <v/>
      </c>
      <c r="J44" s="88" t="str">
        <f aca="false">IF(OR($A44="",$B$6=0),"",SUMIF($D$30:$D$179,$D44,$E$30:$E$179)/$B$6)</f>
        <v/>
      </c>
      <c r="K44" s="47" t="str">
        <f aca="false">IF(OR($A44="",N($E44)=0),"",IF($B$6&lt;'Start Here'!$B$10,"too few plants",IF(AND($H44&lt;=0.1,$I44&lt;=0.2,$J44&lt;=0.3),"ok",TRIM(IF($H44&gt;0.1,"SPECIES ","")&amp;IF($I44&gt;0.2,"GENUS ","")&amp;IF($J44&gt;0.3,"FAMILY","")))))</f>
        <v/>
      </c>
    </row>
    <row r="45" customFormat="false" ht="15" hidden="false" customHeight="true" outlineLevel="0" collapsed="false">
      <c r="A45" s="43" t="str">
        <f aca="false">IF(Palette!$A17="","",Palette!$A17)</f>
        <v>Cornus sericea</v>
      </c>
      <c r="B45" s="47" t="str">
        <f aca="false">IF($A45="","",Palette!$K17)</f>
        <v>A</v>
      </c>
      <c r="C45" s="47" t="str">
        <f aca="false">IF($A45="","",Palette!$C17)</f>
        <v>Cornus</v>
      </c>
      <c r="D45" s="47" t="str">
        <f aca="false">IF($A45="","",Palette!$D17)</f>
        <v>Cornaceae</v>
      </c>
      <c r="E45" s="42" t="n">
        <f aca="false">IF($A45="","",SUMIF('Install Log'!$G$3:$G$202,$A45,'Install Log'!$J$3:$J$202))</f>
        <v>0</v>
      </c>
      <c r="F45" s="42" t="n">
        <f aca="false">IF($A45="","",SUMIF('Install Log'!$G$3:$G$202,$A45,'Install Log'!$R$3:$R$202))</f>
        <v>0</v>
      </c>
      <c r="G45" s="85" t="str">
        <f aca="false">IF(OR($A45="",N($E45)=0),"",IFERROR($F45/SUMIFS('Install Log'!$J$3:$J$202,'Install Log'!$G$3:$G$202,$A45,'Install Log'!$R$3:$R$202,"&lt;&gt;"),"—"))</f>
        <v/>
      </c>
      <c r="H45" s="88" t="str">
        <f aca="false">IF(OR($A45="",$B$6=0),"",$E45/$B$6)</f>
        <v/>
      </c>
      <c r="I45" s="88" t="str">
        <f aca="false">IF(OR($A45="",$B$6=0),"",SUMIF($C$30:$C$179,$C45,$E$30:$E$179)/$B$6)</f>
        <v/>
      </c>
      <c r="J45" s="88" t="str">
        <f aca="false">IF(OR($A45="",$B$6=0),"",SUMIF($D$30:$D$179,$D45,$E$30:$E$179)/$B$6)</f>
        <v/>
      </c>
      <c r="K45" s="47" t="str">
        <f aca="false">IF(OR($A45="",N($E45)=0),"",IF($B$6&lt;'Start Here'!$B$10,"too few plants",IF(AND($H45&lt;=0.1,$I45&lt;=0.2,$J45&lt;=0.3),"ok",TRIM(IF($H45&gt;0.1,"SPECIES ","")&amp;IF($I45&gt;0.2,"GENUS ","")&amp;IF($J45&gt;0.3,"FAMILY","")))))</f>
        <v/>
      </c>
    </row>
    <row r="46" customFormat="false" ht="15" hidden="false" customHeight="true" outlineLevel="0" collapsed="false">
      <c r="A46" s="43" t="str">
        <f aca="false">IF(Palette!$A18="","",Palette!$A18)</f>
        <v>Corylus cornuta</v>
      </c>
      <c r="B46" s="47" t="str">
        <f aca="false">IF($A46="","",Palette!$K18)</f>
        <v>A</v>
      </c>
      <c r="C46" s="47" t="str">
        <f aca="false">IF($A46="","",Palette!$C18)</f>
        <v>Corylus</v>
      </c>
      <c r="D46" s="47" t="str">
        <f aca="false">IF($A46="","",Palette!$D18)</f>
        <v>Betulaceae</v>
      </c>
      <c r="E46" s="42" t="n">
        <f aca="false">IF($A46="","",SUMIF('Install Log'!$G$3:$G$202,$A46,'Install Log'!$J$3:$J$202))</f>
        <v>0</v>
      </c>
      <c r="F46" s="42" t="n">
        <f aca="false">IF($A46="","",SUMIF('Install Log'!$G$3:$G$202,$A46,'Install Log'!$R$3:$R$202))</f>
        <v>0</v>
      </c>
      <c r="G46" s="85" t="str">
        <f aca="false">IF(OR($A46="",N($E46)=0),"",IFERROR($F46/SUMIFS('Install Log'!$J$3:$J$202,'Install Log'!$G$3:$G$202,$A46,'Install Log'!$R$3:$R$202,"&lt;&gt;"),"—"))</f>
        <v/>
      </c>
      <c r="H46" s="88" t="str">
        <f aca="false">IF(OR($A46="",$B$6=0),"",$E46/$B$6)</f>
        <v/>
      </c>
      <c r="I46" s="88" t="str">
        <f aca="false">IF(OR($A46="",$B$6=0),"",SUMIF($C$30:$C$179,$C46,$E$30:$E$179)/$B$6)</f>
        <v/>
      </c>
      <c r="J46" s="88" t="str">
        <f aca="false">IF(OR($A46="",$B$6=0),"",SUMIF($D$30:$D$179,$D46,$E$30:$E$179)/$B$6)</f>
        <v/>
      </c>
      <c r="K46" s="47" t="str">
        <f aca="false">IF(OR($A46="",N($E46)=0),"",IF($B$6&lt;'Start Here'!$B$10,"too few plants",IF(AND($H46&lt;=0.1,$I46&lt;=0.2,$J46&lt;=0.3),"ok",TRIM(IF($H46&gt;0.1,"SPECIES ","")&amp;IF($I46&gt;0.2,"GENUS ","")&amp;IF($J46&gt;0.3,"FAMILY","")))))</f>
        <v/>
      </c>
    </row>
    <row r="47" customFormat="false" ht="15" hidden="false" customHeight="true" outlineLevel="0" collapsed="false">
      <c r="A47" s="43" t="str">
        <f aca="false">IF(Palette!$A19="","",Palette!$A19)</f>
        <v>Frangula californica</v>
      </c>
      <c r="B47" s="47" t="str">
        <f aca="false">IF($A47="","",Palette!$K19)</f>
        <v>A</v>
      </c>
      <c r="C47" s="47" t="str">
        <f aca="false">IF($A47="","",Palette!$C19)</f>
        <v>Frangula</v>
      </c>
      <c r="D47" s="47" t="str">
        <f aca="false">IF($A47="","",Palette!$D19)</f>
        <v>Rhamnaceae</v>
      </c>
      <c r="E47" s="42" t="n">
        <f aca="false">IF($A47="","",SUMIF('Install Log'!$G$3:$G$202,$A47,'Install Log'!$J$3:$J$202))</f>
        <v>0</v>
      </c>
      <c r="F47" s="42" t="n">
        <f aca="false">IF($A47="","",SUMIF('Install Log'!$G$3:$G$202,$A47,'Install Log'!$R$3:$R$202))</f>
        <v>0</v>
      </c>
      <c r="G47" s="85" t="str">
        <f aca="false">IF(OR($A47="",N($E47)=0),"",IFERROR($F47/SUMIFS('Install Log'!$J$3:$J$202,'Install Log'!$G$3:$G$202,$A47,'Install Log'!$R$3:$R$202,"&lt;&gt;"),"—"))</f>
        <v/>
      </c>
      <c r="H47" s="88" t="str">
        <f aca="false">IF(OR($A47="",$B$6=0),"",$E47/$B$6)</f>
        <v/>
      </c>
      <c r="I47" s="88" t="str">
        <f aca="false">IF(OR($A47="",$B$6=0),"",SUMIF($C$30:$C$179,$C47,$E$30:$E$179)/$B$6)</f>
        <v/>
      </c>
      <c r="J47" s="88" t="str">
        <f aca="false">IF(OR($A47="",$B$6=0),"",SUMIF($D$30:$D$179,$D47,$E$30:$E$179)/$B$6)</f>
        <v/>
      </c>
      <c r="K47" s="47" t="str">
        <f aca="false">IF(OR($A47="",N($E47)=0),"",IF($B$6&lt;'Start Here'!$B$10,"too few plants",IF(AND($H47&lt;=0.1,$I47&lt;=0.2,$J47&lt;=0.3),"ok",TRIM(IF($H47&gt;0.1,"SPECIES ","")&amp;IF($I47&gt;0.2,"GENUS ","")&amp;IF($J47&gt;0.3,"FAMILY","")))))</f>
        <v/>
      </c>
    </row>
    <row r="48" customFormat="false" ht="15" hidden="false" customHeight="true" outlineLevel="0" collapsed="false">
      <c r="A48" s="43" t="str">
        <f aca="false">IF(Palette!$A20="","",Palette!$A20)</f>
        <v>Garrya elliptica</v>
      </c>
      <c r="B48" s="47" t="str">
        <f aca="false">IF($A48="","",Palette!$K20)</f>
        <v>A</v>
      </c>
      <c r="C48" s="47" t="str">
        <f aca="false">IF($A48="","",Palette!$C20)</f>
        <v>Garrya</v>
      </c>
      <c r="D48" s="47" t="str">
        <f aca="false">IF($A48="","",Palette!$D20)</f>
        <v>Garryaceae</v>
      </c>
      <c r="E48" s="42" t="n">
        <f aca="false">IF($A48="","",SUMIF('Install Log'!$G$3:$G$202,$A48,'Install Log'!$J$3:$J$202))</f>
        <v>0</v>
      </c>
      <c r="F48" s="42" t="n">
        <f aca="false">IF($A48="","",SUMIF('Install Log'!$G$3:$G$202,$A48,'Install Log'!$R$3:$R$202))</f>
        <v>0</v>
      </c>
      <c r="G48" s="85" t="str">
        <f aca="false">IF(OR($A48="",N($E48)=0),"",IFERROR($F48/SUMIFS('Install Log'!$J$3:$J$202,'Install Log'!$G$3:$G$202,$A48,'Install Log'!$R$3:$R$202,"&lt;&gt;"),"—"))</f>
        <v/>
      </c>
      <c r="H48" s="88" t="str">
        <f aca="false">IF(OR($A48="",$B$6=0),"",$E48/$B$6)</f>
        <v/>
      </c>
      <c r="I48" s="88" t="str">
        <f aca="false">IF(OR($A48="",$B$6=0),"",SUMIF($C$30:$C$179,$C48,$E$30:$E$179)/$B$6)</f>
        <v/>
      </c>
      <c r="J48" s="88" t="str">
        <f aca="false">IF(OR($A48="",$B$6=0),"",SUMIF($D$30:$D$179,$D48,$E$30:$E$179)/$B$6)</f>
        <v/>
      </c>
      <c r="K48" s="47" t="str">
        <f aca="false">IF(OR($A48="",N($E48)=0),"",IF($B$6&lt;'Start Here'!$B$10,"too few plants",IF(AND($H48&lt;=0.1,$I48&lt;=0.2,$J48&lt;=0.3),"ok",TRIM(IF($H48&gt;0.1,"SPECIES ","")&amp;IF($I48&gt;0.2,"GENUS ","")&amp;IF($J48&gt;0.3,"FAMILY","")))))</f>
        <v/>
      </c>
    </row>
    <row r="49" customFormat="false" ht="15" hidden="false" customHeight="true" outlineLevel="0" collapsed="false">
      <c r="A49" s="43" t="str">
        <f aca="false">IF(Palette!$A21="","",Palette!$A21)</f>
        <v>Holodiscus discolor</v>
      </c>
      <c r="B49" s="47" t="str">
        <f aca="false">IF($A49="","",Palette!$K21)</f>
        <v>A</v>
      </c>
      <c r="C49" s="47" t="str">
        <f aca="false">IF($A49="","",Palette!$C21)</f>
        <v>Holodiscus</v>
      </c>
      <c r="D49" s="47" t="str">
        <f aca="false">IF($A49="","",Palette!$D21)</f>
        <v>Rosaceae</v>
      </c>
      <c r="E49" s="42" t="n">
        <f aca="false">IF($A49="","",SUMIF('Install Log'!$G$3:$G$202,$A49,'Install Log'!$J$3:$J$202))</f>
        <v>0</v>
      </c>
      <c r="F49" s="42" t="n">
        <f aca="false">IF($A49="","",SUMIF('Install Log'!$G$3:$G$202,$A49,'Install Log'!$R$3:$R$202))</f>
        <v>0</v>
      </c>
      <c r="G49" s="85" t="str">
        <f aca="false">IF(OR($A49="",N($E49)=0),"",IFERROR($F49/SUMIFS('Install Log'!$J$3:$J$202,'Install Log'!$G$3:$G$202,$A49,'Install Log'!$R$3:$R$202,"&lt;&gt;"),"—"))</f>
        <v/>
      </c>
      <c r="H49" s="88" t="str">
        <f aca="false">IF(OR($A49="",$B$6=0),"",$E49/$B$6)</f>
        <v/>
      </c>
      <c r="I49" s="88" t="str">
        <f aca="false">IF(OR($A49="",$B$6=0),"",SUMIF($C$30:$C$179,$C49,$E$30:$E$179)/$B$6)</f>
        <v/>
      </c>
      <c r="J49" s="88" t="str">
        <f aca="false">IF(OR($A49="",$B$6=0),"",SUMIF($D$30:$D$179,$D49,$E$30:$E$179)/$B$6)</f>
        <v/>
      </c>
      <c r="K49" s="47" t="str">
        <f aca="false">IF(OR($A49="",N($E49)=0),"",IF($B$6&lt;'Start Here'!$B$10,"too few plants",IF(AND($H49&lt;=0.1,$I49&lt;=0.2,$J49&lt;=0.3),"ok",TRIM(IF($H49&gt;0.1,"SPECIES ","")&amp;IF($I49&gt;0.2,"GENUS ","")&amp;IF($J49&gt;0.3,"FAMILY","")))))</f>
        <v/>
      </c>
    </row>
    <row r="50" customFormat="false" ht="15" hidden="false" customHeight="true" outlineLevel="0" collapsed="false">
      <c r="A50" s="43" t="str">
        <f aca="false">IF(Palette!$A22="","",Palette!$A22)</f>
        <v>Lonicera involucrata</v>
      </c>
      <c r="B50" s="47" t="str">
        <f aca="false">IF($A50="","",Palette!$K22)</f>
        <v>A</v>
      </c>
      <c r="C50" s="47" t="str">
        <f aca="false">IF($A50="","",Palette!$C22)</f>
        <v>Lonicera</v>
      </c>
      <c r="D50" s="47" t="str">
        <f aca="false">IF($A50="","",Palette!$D22)</f>
        <v>Caprifoliaceae</v>
      </c>
      <c r="E50" s="42" t="n">
        <f aca="false">IF($A50="","",SUMIF('Install Log'!$G$3:$G$202,$A50,'Install Log'!$J$3:$J$202))</f>
        <v>0</v>
      </c>
      <c r="F50" s="42" t="n">
        <f aca="false">IF($A50="","",SUMIF('Install Log'!$G$3:$G$202,$A50,'Install Log'!$R$3:$R$202))</f>
        <v>0</v>
      </c>
      <c r="G50" s="85" t="str">
        <f aca="false">IF(OR($A50="",N($E50)=0),"",IFERROR($F50/SUMIFS('Install Log'!$J$3:$J$202,'Install Log'!$G$3:$G$202,$A50,'Install Log'!$R$3:$R$202,"&lt;&gt;"),"—"))</f>
        <v/>
      </c>
      <c r="H50" s="88" t="str">
        <f aca="false">IF(OR($A50="",$B$6=0),"",$E50/$B$6)</f>
        <v/>
      </c>
      <c r="I50" s="88" t="str">
        <f aca="false">IF(OR($A50="",$B$6=0),"",SUMIF($C$30:$C$179,$C50,$E$30:$E$179)/$B$6)</f>
        <v/>
      </c>
      <c r="J50" s="88" t="str">
        <f aca="false">IF(OR($A50="",$B$6=0),"",SUMIF($D$30:$D$179,$D50,$E$30:$E$179)/$B$6)</f>
        <v/>
      </c>
      <c r="K50" s="47" t="str">
        <f aca="false">IF(OR($A50="",N($E50)=0),"",IF($B$6&lt;'Start Here'!$B$10,"too few plants",IF(AND($H50&lt;=0.1,$I50&lt;=0.2,$J50&lt;=0.3),"ok",TRIM(IF($H50&gt;0.1,"SPECIES ","")&amp;IF($I50&gt;0.2,"GENUS ","")&amp;IF($J50&gt;0.3,"FAMILY","")))))</f>
        <v/>
      </c>
    </row>
    <row r="51" customFormat="false" ht="15" hidden="false" customHeight="true" outlineLevel="0" collapsed="false">
      <c r="A51" s="43" t="str">
        <f aca="false">IF(Palette!$A23="","",Palette!$A23)</f>
        <v>Morella californica</v>
      </c>
      <c r="B51" s="47" t="str">
        <f aca="false">IF($A51="","",Palette!$K23)</f>
        <v>A</v>
      </c>
      <c r="C51" s="47" t="str">
        <f aca="false">IF($A51="","",Palette!$C23)</f>
        <v>Morella</v>
      </c>
      <c r="D51" s="47" t="str">
        <f aca="false">IF($A51="","",Palette!$D23)</f>
        <v>Myricaceae</v>
      </c>
      <c r="E51" s="42" t="n">
        <f aca="false">IF($A51="","",SUMIF('Install Log'!$G$3:$G$202,$A51,'Install Log'!$J$3:$J$202))</f>
        <v>0</v>
      </c>
      <c r="F51" s="42" t="n">
        <f aca="false">IF($A51="","",SUMIF('Install Log'!$G$3:$G$202,$A51,'Install Log'!$R$3:$R$202))</f>
        <v>0</v>
      </c>
      <c r="G51" s="85" t="str">
        <f aca="false">IF(OR($A51="",N($E51)=0),"",IFERROR($F51/SUMIFS('Install Log'!$J$3:$J$202,'Install Log'!$G$3:$G$202,$A51,'Install Log'!$R$3:$R$202,"&lt;&gt;"),"—"))</f>
        <v/>
      </c>
      <c r="H51" s="88" t="str">
        <f aca="false">IF(OR($A51="",$B$6=0),"",$E51/$B$6)</f>
        <v/>
      </c>
      <c r="I51" s="88" t="str">
        <f aca="false">IF(OR($A51="",$B$6=0),"",SUMIF($C$30:$C$179,$C51,$E$30:$E$179)/$B$6)</f>
        <v/>
      </c>
      <c r="J51" s="88" t="str">
        <f aca="false">IF(OR($A51="",$B$6=0),"",SUMIF($D$30:$D$179,$D51,$E$30:$E$179)/$B$6)</f>
        <v/>
      </c>
      <c r="K51" s="47" t="str">
        <f aca="false">IF(OR($A51="",N($E51)=0),"",IF($B$6&lt;'Start Here'!$B$10,"too few plants",IF(AND($H51&lt;=0.1,$I51&lt;=0.2,$J51&lt;=0.3),"ok",TRIM(IF($H51&gt;0.1,"SPECIES ","")&amp;IF($I51&gt;0.2,"GENUS ","")&amp;IF($J51&gt;0.3,"FAMILY","")))))</f>
        <v/>
      </c>
    </row>
    <row r="52" customFormat="false" ht="15" hidden="false" customHeight="true" outlineLevel="0" collapsed="false">
      <c r="A52" s="43" t="str">
        <f aca="false">IF(Palette!$A24="","",Palette!$A24)</f>
        <v>Oemleria cerasiformis</v>
      </c>
      <c r="B52" s="47" t="str">
        <f aca="false">IF($A52="","",Palette!$K24)</f>
        <v>A</v>
      </c>
      <c r="C52" s="47" t="str">
        <f aca="false">IF($A52="","",Palette!$C24)</f>
        <v>Oemleria</v>
      </c>
      <c r="D52" s="47" t="str">
        <f aca="false">IF($A52="","",Palette!$D24)</f>
        <v>Rosaceae</v>
      </c>
      <c r="E52" s="42" t="n">
        <f aca="false">IF($A52="","",SUMIF('Install Log'!$G$3:$G$202,$A52,'Install Log'!$J$3:$J$202))</f>
        <v>0</v>
      </c>
      <c r="F52" s="42" t="n">
        <f aca="false">IF($A52="","",SUMIF('Install Log'!$G$3:$G$202,$A52,'Install Log'!$R$3:$R$202))</f>
        <v>0</v>
      </c>
      <c r="G52" s="85" t="str">
        <f aca="false">IF(OR($A52="",N($E52)=0),"",IFERROR($F52/SUMIFS('Install Log'!$J$3:$J$202,'Install Log'!$G$3:$G$202,$A52,'Install Log'!$R$3:$R$202,"&lt;&gt;"),"—"))</f>
        <v/>
      </c>
      <c r="H52" s="88" t="str">
        <f aca="false">IF(OR($A52="",$B$6=0),"",$E52/$B$6)</f>
        <v/>
      </c>
      <c r="I52" s="88" t="str">
        <f aca="false">IF(OR($A52="",$B$6=0),"",SUMIF($C$30:$C$179,$C52,$E$30:$E$179)/$B$6)</f>
        <v/>
      </c>
      <c r="J52" s="88" t="str">
        <f aca="false">IF(OR($A52="",$B$6=0),"",SUMIF($D$30:$D$179,$D52,$E$30:$E$179)/$B$6)</f>
        <v/>
      </c>
      <c r="K52" s="47" t="str">
        <f aca="false">IF(OR($A52="",N($E52)=0),"",IF($B$6&lt;'Start Here'!$B$10,"too few plants",IF(AND($H52&lt;=0.1,$I52&lt;=0.2,$J52&lt;=0.3),"ok",TRIM(IF($H52&gt;0.1,"SPECIES ","")&amp;IF($I52&gt;0.2,"GENUS ","")&amp;IF($J52&gt;0.3,"FAMILY","")))))</f>
        <v/>
      </c>
    </row>
    <row r="53" customFormat="false" ht="15" hidden="false" customHeight="true" outlineLevel="0" collapsed="false">
      <c r="A53" s="43" t="str">
        <f aca="false">IF(Palette!$A25="","",Palette!$A25)</f>
        <v>Osmanthus delavayi</v>
      </c>
      <c r="B53" s="47" t="str">
        <f aca="false">IF($A53="","",Palette!$K25)</f>
        <v>A</v>
      </c>
      <c r="C53" s="47" t="str">
        <f aca="false">IF($A53="","",Palette!$C25)</f>
        <v>Osmanthus</v>
      </c>
      <c r="D53" s="47" t="str">
        <f aca="false">IF($A53="","",Palette!$D25)</f>
        <v>Oleaceae</v>
      </c>
      <c r="E53" s="42" t="n">
        <f aca="false">IF($A53="","",SUMIF('Install Log'!$G$3:$G$202,$A53,'Install Log'!$J$3:$J$202))</f>
        <v>0</v>
      </c>
      <c r="F53" s="42" t="n">
        <f aca="false">IF($A53="","",SUMIF('Install Log'!$G$3:$G$202,$A53,'Install Log'!$R$3:$R$202))</f>
        <v>0</v>
      </c>
      <c r="G53" s="85" t="str">
        <f aca="false">IF(OR($A53="",N($E53)=0),"",IFERROR($F53/SUMIFS('Install Log'!$J$3:$J$202,'Install Log'!$G$3:$G$202,$A53,'Install Log'!$R$3:$R$202,"&lt;&gt;"),"—"))</f>
        <v/>
      </c>
      <c r="H53" s="88" t="str">
        <f aca="false">IF(OR($A53="",$B$6=0),"",$E53/$B$6)</f>
        <v/>
      </c>
      <c r="I53" s="88" t="str">
        <f aca="false">IF(OR($A53="",$B$6=0),"",SUMIF($C$30:$C$179,$C53,$E$30:$E$179)/$B$6)</f>
        <v/>
      </c>
      <c r="J53" s="88" t="str">
        <f aca="false">IF(OR($A53="",$B$6=0),"",SUMIF($D$30:$D$179,$D53,$E$30:$E$179)/$B$6)</f>
        <v/>
      </c>
      <c r="K53" s="47" t="str">
        <f aca="false">IF(OR($A53="",N($E53)=0),"",IF($B$6&lt;'Start Here'!$B$10,"too few plants",IF(AND($H53&lt;=0.1,$I53&lt;=0.2,$J53&lt;=0.3),"ok",TRIM(IF($H53&gt;0.1,"SPECIES ","")&amp;IF($I53&gt;0.2,"GENUS ","")&amp;IF($J53&gt;0.3,"FAMILY","")))))</f>
        <v/>
      </c>
    </row>
    <row r="54" customFormat="false" ht="15" hidden="false" customHeight="true" outlineLevel="0" collapsed="false">
      <c r="A54" s="43" t="str">
        <f aca="false">IF(Palette!$A26="","",Palette!$A26)</f>
        <v>Osmanthus x burkwoodii</v>
      </c>
      <c r="B54" s="47" t="str">
        <f aca="false">IF($A54="","",Palette!$K26)</f>
        <v>A</v>
      </c>
      <c r="C54" s="47" t="str">
        <f aca="false">IF($A54="","",Palette!$C26)</f>
        <v>Osmanthus</v>
      </c>
      <c r="D54" s="47" t="str">
        <f aca="false">IF($A54="","",Palette!$D26)</f>
        <v>Oleaceae</v>
      </c>
      <c r="E54" s="42" t="n">
        <f aca="false">IF($A54="","",SUMIF('Install Log'!$G$3:$G$202,$A54,'Install Log'!$J$3:$J$202))</f>
        <v>0</v>
      </c>
      <c r="F54" s="42" t="n">
        <f aca="false">IF($A54="","",SUMIF('Install Log'!$G$3:$G$202,$A54,'Install Log'!$R$3:$R$202))</f>
        <v>0</v>
      </c>
      <c r="G54" s="85" t="str">
        <f aca="false">IF(OR($A54="",N($E54)=0),"",IFERROR($F54/SUMIFS('Install Log'!$J$3:$J$202,'Install Log'!$G$3:$G$202,$A54,'Install Log'!$R$3:$R$202,"&lt;&gt;"),"—"))</f>
        <v/>
      </c>
      <c r="H54" s="88" t="str">
        <f aca="false">IF(OR($A54="",$B$6=0),"",$E54/$B$6)</f>
        <v/>
      </c>
      <c r="I54" s="88" t="str">
        <f aca="false">IF(OR($A54="",$B$6=0),"",SUMIF($C$30:$C$179,$C54,$E$30:$E$179)/$B$6)</f>
        <v/>
      </c>
      <c r="J54" s="88" t="str">
        <f aca="false">IF(OR($A54="",$B$6=0),"",SUMIF($D$30:$D$179,$D54,$E$30:$E$179)/$B$6)</f>
        <v/>
      </c>
      <c r="K54" s="47" t="str">
        <f aca="false">IF(OR($A54="",N($E54)=0),"",IF($B$6&lt;'Start Here'!$B$10,"too few plants",IF(AND($H54&lt;=0.1,$I54&lt;=0.2,$J54&lt;=0.3),"ok",TRIM(IF($H54&gt;0.1,"SPECIES ","")&amp;IF($I54&gt;0.2,"GENUS ","")&amp;IF($J54&gt;0.3,"FAMILY","")))))</f>
        <v/>
      </c>
    </row>
    <row r="55" customFormat="false" ht="15" hidden="false" customHeight="true" outlineLevel="0" collapsed="false">
      <c r="A55" s="43" t="str">
        <f aca="false">IF(Palette!$A27="","",Palette!$A27)</f>
        <v>Physocarpus capitatus</v>
      </c>
      <c r="B55" s="47" t="str">
        <f aca="false">IF($A55="","",Palette!$K27)</f>
        <v>A</v>
      </c>
      <c r="C55" s="47" t="str">
        <f aca="false">IF($A55="","",Palette!$C27)</f>
        <v>Physocarpus</v>
      </c>
      <c r="D55" s="47" t="str">
        <f aca="false">IF($A55="","",Palette!$D27)</f>
        <v>Rosaceae</v>
      </c>
      <c r="E55" s="42" t="n">
        <f aca="false">IF($A55="","",SUMIF('Install Log'!$G$3:$G$202,$A55,'Install Log'!$J$3:$J$202))</f>
        <v>0</v>
      </c>
      <c r="F55" s="42" t="n">
        <f aca="false">IF($A55="","",SUMIF('Install Log'!$G$3:$G$202,$A55,'Install Log'!$R$3:$R$202))</f>
        <v>0</v>
      </c>
      <c r="G55" s="85" t="str">
        <f aca="false">IF(OR($A55="",N($E55)=0),"",IFERROR($F55/SUMIFS('Install Log'!$J$3:$J$202,'Install Log'!$G$3:$G$202,$A55,'Install Log'!$R$3:$R$202,"&lt;&gt;"),"—"))</f>
        <v/>
      </c>
      <c r="H55" s="88" t="str">
        <f aca="false">IF(OR($A55="",$B$6=0),"",$E55/$B$6)</f>
        <v/>
      </c>
      <c r="I55" s="88" t="str">
        <f aca="false">IF(OR($A55="",$B$6=0),"",SUMIF($C$30:$C$179,$C55,$E$30:$E$179)/$B$6)</f>
        <v/>
      </c>
      <c r="J55" s="88" t="str">
        <f aca="false">IF(OR($A55="",$B$6=0),"",SUMIF($D$30:$D$179,$D55,$E$30:$E$179)/$B$6)</f>
        <v/>
      </c>
      <c r="K55" s="47" t="str">
        <f aca="false">IF(OR($A55="",N($E55)=0),"",IF($B$6&lt;'Start Here'!$B$10,"too few plants",IF(AND($H55&lt;=0.1,$I55&lt;=0.2,$J55&lt;=0.3),"ok",TRIM(IF($H55&gt;0.1,"SPECIES ","")&amp;IF($I55&gt;0.2,"GENUS ","")&amp;IF($J55&gt;0.3,"FAMILY","")))))</f>
        <v/>
      </c>
    </row>
    <row r="56" customFormat="false" ht="15" hidden="false" customHeight="true" outlineLevel="0" collapsed="false">
      <c r="A56" s="43" t="str">
        <f aca="false">IF(Palette!$A28="","",Palette!$A28)</f>
        <v>Ribes sanguineum</v>
      </c>
      <c r="B56" s="47" t="str">
        <f aca="false">IF($A56="","",Palette!$K28)</f>
        <v>A</v>
      </c>
      <c r="C56" s="47" t="str">
        <f aca="false">IF($A56="","",Palette!$C28)</f>
        <v>Ribes</v>
      </c>
      <c r="D56" s="47" t="str">
        <f aca="false">IF($A56="","",Palette!$D28)</f>
        <v>Grossulariaceae</v>
      </c>
      <c r="E56" s="42" t="n">
        <f aca="false">IF($A56="","",SUMIF('Install Log'!$G$3:$G$202,$A56,'Install Log'!$J$3:$J$202))</f>
        <v>0</v>
      </c>
      <c r="F56" s="42" t="n">
        <f aca="false">IF($A56="","",SUMIF('Install Log'!$G$3:$G$202,$A56,'Install Log'!$R$3:$R$202))</f>
        <v>0</v>
      </c>
      <c r="G56" s="85" t="str">
        <f aca="false">IF(OR($A56="",N($E56)=0),"",IFERROR($F56/SUMIFS('Install Log'!$J$3:$J$202,'Install Log'!$G$3:$G$202,$A56,'Install Log'!$R$3:$R$202,"&lt;&gt;"),"—"))</f>
        <v/>
      </c>
      <c r="H56" s="88" t="str">
        <f aca="false">IF(OR($A56="",$B$6=0),"",$E56/$B$6)</f>
        <v/>
      </c>
      <c r="I56" s="88" t="str">
        <f aca="false">IF(OR($A56="",$B$6=0),"",SUMIF($C$30:$C$179,$C56,$E$30:$E$179)/$B$6)</f>
        <v/>
      </c>
      <c r="J56" s="88" t="str">
        <f aca="false">IF(OR($A56="",$B$6=0),"",SUMIF($D$30:$D$179,$D56,$E$30:$E$179)/$B$6)</f>
        <v/>
      </c>
      <c r="K56" s="47" t="str">
        <f aca="false">IF(OR($A56="",N($E56)=0),"",IF($B$6&lt;'Start Here'!$B$10,"too few plants",IF(AND($H56&lt;=0.1,$I56&lt;=0.2,$J56&lt;=0.3),"ok",TRIM(IF($H56&gt;0.1,"SPECIES ","")&amp;IF($I56&gt;0.2,"GENUS ","")&amp;IF($J56&gt;0.3,"FAMILY","")))))</f>
        <v/>
      </c>
    </row>
    <row r="57" customFormat="false" ht="15" hidden="false" customHeight="true" outlineLevel="0" collapsed="false">
      <c r="A57" s="43" t="str">
        <f aca="false">IF(Palette!$A29="","",Palette!$A29)</f>
        <v>Rosa nutkana</v>
      </c>
      <c r="B57" s="47" t="str">
        <f aca="false">IF($A57="","",Palette!$K29)</f>
        <v>A</v>
      </c>
      <c r="C57" s="47" t="str">
        <f aca="false">IF($A57="","",Palette!$C29)</f>
        <v>Rosa</v>
      </c>
      <c r="D57" s="47" t="str">
        <f aca="false">IF($A57="","",Palette!$D29)</f>
        <v>Rosaceae</v>
      </c>
      <c r="E57" s="42" t="n">
        <f aca="false">IF($A57="","",SUMIF('Install Log'!$G$3:$G$202,$A57,'Install Log'!$J$3:$J$202))</f>
        <v>0</v>
      </c>
      <c r="F57" s="42" t="n">
        <f aca="false">IF($A57="","",SUMIF('Install Log'!$G$3:$G$202,$A57,'Install Log'!$R$3:$R$202))</f>
        <v>0</v>
      </c>
      <c r="G57" s="85" t="str">
        <f aca="false">IF(OR($A57="",N($E57)=0),"",IFERROR($F57/SUMIFS('Install Log'!$J$3:$J$202,'Install Log'!$G$3:$G$202,$A57,'Install Log'!$R$3:$R$202,"&lt;&gt;"),"—"))</f>
        <v/>
      </c>
      <c r="H57" s="88" t="str">
        <f aca="false">IF(OR($A57="",$B$6=0),"",$E57/$B$6)</f>
        <v/>
      </c>
      <c r="I57" s="88" t="str">
        <f aca="false">IF(OR($A57="",$B$6=0),"",SUMIF($C$30:$C$179,$C57,$E$30:$E$179)/$B$6)</f>
        <v/>
      </c>
      <c r="J57" s="88" t="str">
        <f aca="false">IF(OR($A57="",$B$6=0),"",SUMIF($D$30:$D$179,$D57,$E$30:$E$179)/$B$6)</f>
        <v/>
      </c>
      <c r="K57" s="47" t="str">
        <f aca="false">IF(OR($A57="",N($E57)=0),"",IF($B$6&lt;'Start Here'!$B$10,"too few plants",IF(AND($H57&lt;=0.1,$I57&lt;=0.2,$J57&lt;=0.3),"ok",TRIM(IF($H57&gt;0.1,"SPECIES ","")&amp;IF($I57&gt;0.2,"GENUS ","")&amp;IF($J57&gt;0.3,"FAMILY","")))))</f>
        <v/>
      </c>
    </row>
    <row r="58" customFormat="false" ht="15" hidden="false" customHeight="true" outlineLevel="0" collapsed="false">
      <c r="A58" s="43" t="str">
        <f aca="false">IF(Palette!$A30="","",Palette!$A30)</f>
        <v>Spiraea douglasii</v>
      </c>
      <c r="B58" s="47" t="str">
        <f aca="false">IF($A58="","",Palette!$K30)</f>
        <v>A</v>
      </c>
      <c r="C58" s="47" t="str">
        <f aca="false">IF($A58="","",Palette!$C30)</f>
        <v>Spiraea</v>
      </c>
      <c r="D58" s="47" t="str">
        <f aca="false">IF($A58="","",Palette!$D30)</f>
        <v>Rosaceae</v>
      </c>
      <c r="E58" s="42" t="n">
        <f aca="false">IF($A58="","",SUMIF('Install Log'!$G$3:$G$202,$A58,'Install Log'!$J$3:$J$202))</f>
        <v>0</v>
      </c>
      <c r="F58" s="42" t="n">
        <f aca="false">IF($A58="","",SUMIF('Install Log'!$G$3:$G$202,$A58,'Install Log'!$R$3:$R$202))</f>
        <v>0</v>
      </c>
      <c r="G58" s="85" t="str">
        <f aca="false">IF(OR($A58="",N($E58)=0),"",IFERROR($F58/SUMIFS('Install Log'!$J$3:$J$202,'Install Log'!$G$3:$G$202,$A58,'Install Log'!$R$3:$R$202,"&lt;&gt;"),"—"))</f>
        <v/>
      </c>
      <c r="H58" s="88" t="str">
        <f aca="false">IF(OR($A58="",$B$6=0),"",$E58/$B$6)</f>
        <v/>
      </c>
      <c r="I58" s="88" t="str">
        <f aca="false">IF(OR($A58="",$B$6=0),"",SUMIF($C$30:$C$179,$C58,$E$30:$E$179)/$B$6)</f>
        <v/>
      </c>
      <c r="J58" s="88" t="str">
        <f aca="false">IF(OR($A58="",$B$6=0),"",SUMIF($D$30:$D$179,$D58,$E$30:$E$179)/$B$6)</f>
        <v/>
      </c>
      <c r="K58" s="47" t="str">
        <f aca="false">IF(OR($A58="",N($E58)=0),"",IF($B$6&lt;'Start Here'!$B$10,"too few plants",IF(AND($H58&lt;=0.1,$I58&lt;=0.2,$J58&lt;=0.3),"ok",TRIM(IF($H58&gt;0.1,"SPECIES ","")&amp;IF($I58&gt;0.2,"GENUS ","")&amp;IF($J58&gt;0.3,"FAMILY","")))))</f>
        <v/>
      </c>
    </row>
    <row r="59" customFormat="false" ht="15" hidden="false" customHeight="true" outlineLevel="0" collapsed="false">
      <c r="A59" s="43" t="str">
        <f aca="false">IF(Palette!$A31="","",Palette!$A31)</f>
        <v>Symphoricarpos albus</v>
      </c>
      <c r="B59" s="47" t="str">
        <f aca="false">IF($A59="","",Palette!$K31)</f>
        <v>A</v>
      </c>
      <c r="C59" s="47" t="str">
        <f aca="false">IF($A59="","",Palette!$C31)</f>
        <v>Symphoricarpos</v>
      </c>
      <c r="D59" s="47" t="str">
        <f aca="false">IF($A59="","",Palette!$D31)</f>
        <v>Caprifoliaceae</v>
      </c>
      <c r="E59" s="42" t="n">
        <f aca="false">IF($A59="","",SUMIF('Install Log'!$G$3:$G$202,$A59,'Install Log'!$J$3:$J$202))</f>
        <v>0</v>
      </c>
      <c r="F59" s="42" t="n">
        <f aca="false">IF($A59="","",SUMIF('Install Log'!$G$3:$G$202,$A59,'Install Log'!$R$3:$R$202))</f>
        <v>0</v>
      </c>
      <c r="G59" s="85" t="str">
        <f aca="false">IF(OR($A59="",N($E59)=0),"",IFERROR($F59/SUMIFS('Install Log'!$J$3:$J$202,'Install Log'!$G$3:$G$202,$A59,'Install Log'!$R$3:$R$202,"&lt;&gt;"),"—"))</f>
        <v/>
      </c>
      <c r="H59" s="88" t="str">
        <f aca="false">IF(OR($A59="",$B$6=0),"",$E59/$B$6)</f>
        <v/>
      </c>
      <c r="I59" s="88" t="str">
        <f aca="false">IF(OR($A59="",$B$6=0),"",SUMIF($C$30:$C$179,$C59,$E$30:$E$179)/$B$6)</f>
        <v/>
      </c>
      <c r="J59" s="88" t="str">
        <f aca="false">IF(OR($A59="",$B$6=0),"",SUMIF($D$30:$D$179,$D59,$E$30:$E$179)/$B$6)</f>
        <v/>
      </c>
      <c r="K59" s="47" t="str">
        <f aca="false">IF(OR($A59="",N($E59)=0),"",IF($B$6&lt;'Start Here'!$B$10,"too few plants",IF(AND($H59&lt;=0.1,$I59&lt;=0.2,$J59&lt;=0.3),"ok",TRIM(IF($H59&gt;0.1,"SPECIES ","")&amp;IF($I59&gt;0.2,"GENUS ","")&amp;IF($J59&gt;0.3,"FAMILY","")))))</f>
        <v/>
      </c>
    </row>
    <row r="60" customFormat="false" ht="15" hidden="false" customHeight="true" outlineLevel="0" collapsed="false">
      <c r="A60" s="43" t="str">
        <f aca="false">IF(Palette!$A32="","",Palette!$A32)</f>
        <v>Pistacia chinensis</v>
      </c>
      <c r="B60" s="47" t="str">
        <f aca="false">IF($A60="","",Palette!$K32)</f>
        <v>B</v>
      </c>
      <c r="C60" s="47" t="str">
        <f aca="false">IF($A60="","",Palette!$C32)</f>
        <v>Pistacia</v>
      </c>
      <c r="D60" s="47" t="str">
        <f aca="false">IF($A60="","",Palette!$D32)</f>
        <v>Anacardiaceae</v>
      </c>
      <c r="E60" s="42" t="n">
        <f aca="false">IF($A60="","",SUMIF('Install Log'!$G$3:$G$202,$A60,'Install Log'!$J$3:$J$202))</f>
        <v>0</v>
      </c>
      <c r="F60" s="42" t="n">
        <f aca="false">IF($A60="","",SUMIF('Install Log'!$G$3:$G$202,$A60,'Install Log'!$R$3:$R$202))</f>
        <v>0</v>
      </c>
      <c r="G60" s="85" t="str">
        <f aca="false">IF(OR($A60="",N($E60)=0),"",IFERROR($F60/SUMIFS('Install Log'!$J$3:$J$202,'Install Log'!$G$3:$G$202,$A60,'Install Log'!$R$3:$R$202,"&lt;&gt;"),"—"))</f>
        <v/>
      </c>
      <c r="H60" s="88" t="str">
        <f aca="false">IF(OR($A60="",$B$6=0),"",$E60/$B$6)</f>
        <v/>
      </c>
      <c r="I60" s="88" t="str">
        <f aca="false">IF(OR($A60="",$B$6=0),"",SUMIF($C$30:$C$179,$C60,$E$30:$E$179)/$B$6)</f>
        <v/>
      </c>
      <c r="J60" s="88" t="str">
        <f aca="false">IF(OR($A60="",$B$6=0),"",SUMIF($D$30:$D$179,$D60,$E$30:$E$179)/$B$6)</f>
        <v/>
      </c>
      <c r="K60" s="47" t="str">
        <f aca="false">IF(OR($A60="",N($E60)=0),"",IF($B$6&lt;'Start Here'!$B$10,"too few plants",IF(AND($H60&lt;=0.1,$I60&lt;=0.2,$J60&lt;=0.3),"ok",TRIM(IF($H60&gt;0.1,"SPECIES ","")&amp;IF($I60&gt;0.2,"GENUS ","")&amp;IF($J60&gt;0.3,"FAMILY","")))))</f>
        <v/>
      </c>
    </row>
    <row r="61" customFormat="false" ht="15" hidden="false" customHeight="true" outlineLevel="0" collapsed="false">
      <c r="A61" s="43" t="str">
        <f aca="false">IF(Palette!$A33="","",Palette!$A33)</f>
        <v>Quercus kelloggii</v>
      </c>
      <c r="B61" s="47" t="str">
        <f aca="false">IF($A61="","",Palette!$K33)</f>
        <v>B</v>
      </c>
      <c r="C61" s="47" t="str">
        <f aca="false">IF($A61="","",Palette!$C33)</f>
        <v>Quercus</v>
      </c>
      <c r="D61" s="47" t="str">
        <f aca="false">IF($A61="","",Palette!$D33)</f>
        <v>Fagaceae</v>
      </c>
      <c r="E61" s="42" t="n">
        <f aca="false">IF($A61="","",SUMIF('Install Log'!$G$3:$G$202,$A61,'Install Log'!$J$3:$J$202))</f>
        <v>0</v>
      </c>
      <c r="F61" s="42" t="n">
        <f aca="false">IF($A61="","",SUMIF('Install Log'!$G$3:$G$202,$A61,'Install Log'!$R$3:$R$202))</f>
        <v>0</v>
      </c>
      <c r="G61" s="85" t="str">
        <f aca="false">IF(OR($A61="",N($E61)=0),"",IFERROR($F61/SUMIFS('Install Log'!$J$3:$J$202,'Install Log'!$G$3:$G$202,$A61,'Install Log'!$R$3:$R$202,"&lt;&gt;"),"—"))</f>
        <v/>
      </c>
      <c r="H61" s="88" t="str">
        <f aca="false">IF(OR($A61="",$B$6=0),"",$E61/$B$6)</f>
        <v/>
      </c>
      <c r="I61" s="88" t="str">
        <f aca="false">IF(OR($A61="",$B$6=0),"",SUMIF($C$30:$C$179,$C61,$E$30:$E$179)/$B$6)</f>
        <v/>
      </c>
      <c r="J61" s="88" t="str">
        <f aca="false">IF(OR($A61="",$B$6=0),"",SUMIF($D$30:$D$179,$D61,$E$30:$E$179)/$B$6)</f>
        <v/>
      </c>
      <c r="K61" s="47" t="str">
        <f aca="false">IF(OR($A61="",N($E61)=0),"",IF($B$6&lt;'Start Here'!$B$10,"too few plants",IF(AND($H61&lt;=0.1,$I61&lt;=0.2,$J61&lt;=0.3),"ok",TRIM(IF($H61&gt;0.1,"SPECIES ","")&amp;IF($I61&gt;0.2,"GENUS ","")&amp;IF($J61&gt;0.3,"FAMILY","")))))</f>
        <v/>
      </c>
    </row>
    <row r="62" customFormat="false" ht="15" hidden="false" customHeight="true" outlineLevel="0" collapsed="false">
      <c r="A62" s="43" t="str">
        <f aca="false">IF(Palette!$A34="","",Palette!$A34)</f>
        <v>Quercus wislizeni</v>
      </c>
      <c r="B62" s="47" t="str">
        <f aca="false">IF($A62="","",Palette!$K34)</f>
        <v>B</v>
      </c>
      <c r="C62" s="47" t="str">
        <f aca="false">IF($A62="","",Palette!$C34)</f>
        <v>Quercus</v>
      </c>
      <c r="D62" s="47" t="str">
        <f aca="false">IF($A62="","",Palette!$D34)</f>
        <v>Fagaceae</v>
      </c>
      <c r="E62" s="42" t="n">
        <f aca="false">IF($A62="","",SUMIF('Install Log'!$G$3:$G$202,$A62,'Install Log'!$J$3:$J$202))</f>
        <v>0</v>
      </c>
      <c r="F62" s="42" t="n">
        <f aca="false">IF($A62="","",SUMIF('Install Log'!$G$3:$G$202,$A62,'Install Log'!$R$3:$R$202))</f>
        <v>0</v>
      </c>
      <c r="G62" s="85" t="str">
        <f aca="false">IF(OR($A62="",N($E62)=0),"",IFERROR($F62/SUMIFS('Install Log'!$J$3:$J$202,'Install Log'!$G$3:$G$202,$A62,'Install Log'!$R$3:$R$202,"&lt;&gt;"),"—"))</f>
        <v/>
      </c>
      <c r="H62" s="88" t="str">
        <f aca="false">IF(OR($A62="",$B$6=0),"",$E62/$B$6)</f>
        <v/>
      </c>
      <c r="I62" s="88" t="str">
        <f aca="false">IF(OR($A62="",$B$6=0),"",SUMIF($C$30:$C$179,$C62,$E$30:$E$179)/$B$6)</f>
        <v/>
      </c>
      <c r="J62" s="88" t="str">
        <f aca="false">IF(OR($A62="",$B$6=0),"",SUMIF($D$30:$D$179,$D62,$E$30:$E$179)/$B$6)</f>
        <v/>
      </c>
      <c r="K62" s="47" t="str">
        <f aca="false">IF(OR($A62="",N($E62)=0),"",IF($B$6&lt;'Start Here'!$B$10,"too few plants",IF(AND($H62&lt;=0.1,$I62&lt;=0.2,$J62&lt;=0.3),"ok",TRIM(IF($H62&gt;0.1,"SPECIES ","")&amp;IF($I62&gt;0.2,"GENUS ","")&amp;IF($J62&gt;0.3,"FAMILY","")))))</f>
        <v/>
      </c>
    </row>
    <row r="63" customFormat="false" ht="15" hidden="false" customHeight="true" outlineLevel="0" collapsed="false">
      <c r="A63" s="43" t="str">
        <f aca="false">IF(Palette!$A35="","",Palette!$A35)</f>
        <v>Tilia tomentosa</v>
      </c>
      <c r="B63" s="47" t="str">
        <f aca="false">IF($A63="","",Palette!$K35)</f>
        <v>B</v>
      </c>
      <c r="C63" s="47" t="str">
        <f aca="false">IF($A63="","",Palette!$C35)</f>
        <v>Tilia</v>
      </c>
      <c r="D63" s="47" t="str">
        <f aca="false">IF($A63="","",Palette!$D35)</f>
        <v>Malvaceae</v>
      </c>
      <c r="E63" s="42" t="n">
        <f aca="false">IF($A63="","",SUMIF('Install Log'!$G$3:$G$202,$A63,'Install Log'!$J$3:$J$202))</f>
        <v>0</v>
      </c>
      <c r="F63" s="42" t="n">
        <f aca="false">IF($A63="","",SUMIF('Install Log'!$G$3:$G$202,$A63,'Install Log'!$R$3:$R$202))</f>
        <v>0</v>
      </c>
      <c r="G63" s="85" t="str">
        <f aca="false">IF(OR($A63="",N($E63)=0),"",IFERROR($F63/SUMIFS('Install Log'!$J$3:$J$202,'Install Log'!$G$3:$G$202,$A63,'Install Log'!$R$3:$R$202,"&lt;&gt;"),"—"))</f>
        <v/>
      </c>
      <c r="H63" s="88" t="str">
        <f aca="false">IF(OR($A63="",$B$6=0),"",$E63/$B$6)</f>
        <v/>
      </c>
      <c r="I63" s="88" t="str">
        <f aca="false">IF(OR($A63="",$B$6=0),"",SUMIF($C$30:$C$179,$C63,$E$30:$E$179)/$B$6)</f>
        <v/>
      </c>
      <c r="J63" s="88" t="str">
        <f aca="false">IF(OR($A63="",$B$6=0),"",SUMIF($D$30:$D$179,$D63,$E$30:$E$179)/$B$6)</f>
        <v/>
      </c>
      <c r="K63" s="47" t="str">
        <f aca="false">IF(OR($A63="",N($E63)=0),"",IF($B$6&lt;'Start Here'!$B$10,"too few plants",IF(AND($H63&lt;=0.1,$I63&lt;=0.2,$J63&lt;=0.3),"ok",TRIM(IF($H63&gt;0.1,"SPECIES ","")&amp;IF($I63&gt;0.2,"GENUS ","")&amp;IF($J63&gt;0.3,"FAMILY","")))))</f>
        <v/>
      </c>
    </row>
    <row r="64" customFormat="false" ht="15" hidden="false" customHeight="true" outlineLevel="0" collapsed="false">
      <c r="A64" s="43" t="str">
        <f aca="false">IF(Palette!$A36="","",Palette!$A36)</f>
        <v>Hesperocyparis arizonica</v>
      </c>
      <c r="B64" s="47" t="str">
        <f aca="false">IF($A64="","",Palette!$K36)</f>
        <v>B</v>
      </c>
      <c r="C64" s="47" t="str">
        <f aca="false">IF($A64="","",Palette!$C36)</f>
        <v>Hesperocyparis</v>
      </c>
      <c r="D64" s="47" t="str">
        <f aca="false">IF($A64="","",Palette!$D36)</f>
        <v>Cupressaceae</v>
      </c>
      <c r="E64" s="42" t="n">
        <f aca="false">IF($A64="","",SUMIF('Install Log'!$G$3:$G$202,$A64,'Install Log'!$J$3:$J$202))</f>
        <v>0</v>
      </c>
      <c r="F64" s="42" t="n">
        <f aca="false">IF($A64="","",SUMIF('Install Log'!$G$3:$G$202,$A64,'Install Log'!$R$3:$R$202))</f>
        <v>0</v>
      </c>
      <c r="G64" s="85" t="str">
        <f aca="false">IF(OR($A64="",N($E64)=0),"",IFERROR($F64/SUMIFS('Install Log'!$J$3:$J$202,'Install Log'!$G$3:$G$202,$A64,'Install Log'!$R$3:$R$202,"&lt;&gt;"),"—"))</f>
        <v/>
      </c>
      <c r="H64" s="88" t="str">
        <f aca="false">IF(OR($A64="",$B$6=0),"",$E64/$B$6)</f>
        <v/>
      </c>
      <c r="I64" s="88" t="str">
        <f aca="false">IF(OR($A64="",$B$6=0),"",SUMIF($C$30:$C$179,$C64,$E$30:$E$179)/$B$6)</f>
        <v/>
      </c>
      <c r="J64" s="88" t="str">
        <f aca="false">IF(OR($A64="",$B$6=0),"",SUMIF($D$30:$D$179,$D64,$E$30:$E$179)/$B$6)</f>
        <v/>
      </c>
      <c r="K64" s="47" t="str">
        <f aca="false">IF(OR($A64="",N($E64)=0),"",IF($B$6&lt;'Start Here'!$B$10,"too few plants",IF(AND($H64&lt;=0.1,$I64&lt;=0.2,$J64&lt;=0.3),"ok",TRIM(IF($H64&gt;0.1,"SPECIES ","")&amp;IF($I64&gt;0.2,"GENUS ","")&amp;IF($J64&gt;0.3,"FAMILY","")))))</f>
        <v/>
      </c>
    </row>
    <row r="65" customFormat="false" ht="15" hidden="false" customHeight="true" outlineLevel="0" collapsed="false">
      <c r="A65" s="43" t="str">
        <f aca="false">IF(Palette!$A37="","",Palette!$A37)</f>
        <v>Salix hookeriana</v>
      </c>
      <c r="B65" s="47" t="str">
        <f aca="false">IF($A65="","",Palette!$K37)</f>
        <v>B</v>
      </c>
      <c r="C65" s="47" t="str">
        <f aca="false">IF($A65="","",Palette!$C37)</f>
        <v>Salix</v>
      </c>
      <c r="D65" s="47" t="str">
        <f aca="false">IF($A65="","",Palette!$D37)</f>
        <v>Salicaceae</v>
      </c>
      <c r="E65" s="42" t="n">
        <f aca="false">IF($A65="","",SUMIF('Install Log'!$G$3:$G$202,$A65,'Install Log'!$J$3:$J$202))</f>
        <v>0</v>
      </c>
      <c r="F65" s="42" t="n">
        <f aca="false">IF($A65="","",SUMIF('Install Log'!$G$3:$G$202,$A65,'Install Log'!$R$3:$R$202))</f>
        <v>0</v>
      </c>
      <c r="G65" s="85" t="str">
        <f aca="false">IF(OR($A65="",N($E65)=0),"",IFERROR($F65/SUMIFS('Install Log'!$J$3:$J$202,'Install Log'!$G$3:$G$202,$A65,'Install Log'!$R$3:$R$202,"&lt;&gt;"),"—"))</f>
        <v/>
      </c>
      <c r="H65" s="88" t="str">
        <f aca="false">IF(OR($A65="",$B$6=0),"",$E65/$B$6)</f>
        <v/>
      </c>
      <c r="I65" s="88" t="str">
        <f aca="false">IF(OR($A65="",$B$6=0),"",SUMIF($C$30:$C$179,$C65,$E$30:$E$179)/$B$6)</f>
        <v/>
      </c>
      <c r="J65" s="88" t="str">
        <f aca="false">IF(OR($A65="",$B$6=0),"",SUMIF($D$30:$D$179,$D65,$E$30:$E$179)/$B$6)</f>
        <v/>
      </c>
      <c r="K65" s="47" t="str">
        <f aca="false">IF(OR($A65="",N($E65)=0),"",IF($B$6&lt;'Start Here'!$B$10,"too few plants",IF(AND($H65&lt;=0.1,$I65&lt;=0.2,$J65&lt;=0.3),"ok",TRIM(IF($H65&gt;0.1,"SPECIES ","")&amp;IF($I65&gt;0.2,"GENUS ","")&amp;IF($J65&gt;0.3,"FAMILY","")))))</f>
        <v/>
      </c>
    </row>
    <row r="66" customFormat="false" ht="15" hidden="false" customHeight="true" outlineLevel="0" collapsed="false">
      <c r="A66" s="43" t="str">
        <f aca="false">IF(Palette!$A38="","",Palette!$A38)</f>
        <v>Arctostaphylos densiflora</v>
      </c>
      <c r="B66" s="47" t="str">
        <f aca="false">IF($A66="","",Palette!$K38)</f>
        <v>B</v>
      </c>
      <c r="C66" s="47" t="str">
        <f aca="false">IF($A66="","",Palette!$C38)</f>
        <v>Arctostaphylos</v>
      </c>
      <c r="D66" s="47" t="str">
        <f aca="false">IF($A66="","",Palette!$D38)</f>
        <v>Ericaceae</v>
      </c>
      <c r="E66" s="42" t="n">
        <f aca="false">IF($A66="","",SUMIF('Install Log'!$G$3:$G$202,$A66,'Install Log'!$J$3:$J$202))</f>
        <v>0</v>
      </c>
      <c r="F66" s="42" t="n">
        <f aca="false">IF($A66="","",SUMIF('Install Log'!$G$3:$G$202,$A66,'Install Log'!$R$3:$R$202))</f>
        <v>0</v>
      </c>
      <c r="G66" s="85" t="str">
        <f aca="false">IF(OR($A66="",N($E66)=0),"",IFERROR($F66/SUMIFS('Install Log'!$J$3:$J$202,'Install Log'!$G$3:$G$202,$A66,'Install Log'!$R$3:$R$202,"&lt;&gt;"),"—"))</f>
        <v/>
      </c>
      <c r="H66" s="88" t="str">
        <f aca="false">IF(OR($A66="",$B$6=0),"",$E66/$B$6)</f>
        <v/>
      </c>
      <c r="I66" s="88" t="str">
        <f aca="false">IF(OR($A66="",$B$6=0),"",SUMIF($C$30:$C$179,$C66,$E$30:$E$179)/$B$6)</f>
        <v/>
      </c>
      <c r="J66" s="88" t="str">
        <f aca="false">IF(OR($A66="",$B$6=0),"",SUMIF($D$30:$D$179,$D66,$E$30:$E$179)/$B$6)</f>
        <v/>
      </c>
      <c r="K66" s="47" t="str">
        <f aca="false">IF(OR($A66="",N($E66)=0),"",IF($B$6&lt;'Start Here'!$B$10,"too few plants",IF(AND($H66&lt;=0.1,$I66&lt;=0.2,$J66&lt;=0.3),"ok",TRIM(IF($H66&gt;0.1,"SPECIES ","")&amp;IF($I66&gt;0.2,"GENUS ","")&amp;IF($J66&gt;0.3,"FAMILY","")))))</f>
        <v/>
      </c>
    </row>
    <row r="67" customFormat="false" ht="15" hidden="false" customHeight="true" outlineLevel="0" collapsed="false">
      <c r="A67" s="43" t="str">
        <f aca="false">IF(Palette!$A39="","",Palette!$A39)</f>
        <v>Ceanothus thyrsiflorus</v>
      </c>
      <c r="B67" s="47" t="str">
        <f aca="false">IF($A67="","",Palette!$K39)</f>
        <v>B</v>
      </c>
      <c r="C67" s="47" t="str">
        <f aca="false">IF($A67="","",Palette!$C39)</f>
        <v>Ceanothus</v>
      </c>
      <c r="D67" s="47" t="str">
        <f aca="false">IF($A67="","",Palette!$D39)</f>
        <v>Rhamnaceae</v>
      </c>
      <c r="E67" s="42" t="n">
        <f aca="false">IF($A67="","",SUMIF('Install Log'!$G$3:$G$202,$A67,'Install Log'!$J$3:$J$202))</f>
        <v>0</v>
      </c>
      <c r="F67" s="42" t="n">
        <f aca="false">IF($A67="","",SUMIF('Install Log'!$G$3:$G$202,$A67,'Install Log'!$R$3:$R$202))</f>
        <v>0</v>
      </c>
      <c r="G67" s="85" t="str">
        <f aca="false">IF(OR($A67="",N($E67)=0),"",IFERROR($F67/SUMIFS('Install Log'!$J$3:$J$202,'Install Log'!$G$3:$G$202,$A67,'Install Log'!$R$3:$R$202,"&lt;&gt;"),"—"))</f>
        <v/>
      </c>
      <c r="H67" s="88" t="str">
        <f aca="false">IF(OR($A67="",$B$6=0),"",$E67/$B$6)</f>
        <v/>
      </c>
      <c r="I67" s="88" t="str">
        <f aca="false">IF(OR($A67="",$B$6=0),"",SUMIF($C$30:$C$179,$C67,$E$30:$E$179)/$B$6)</f>
        <v/>
      </c>
      <c r="J67" s="88" t="str">
        <f aca="false">IF(OR($A67="",$B$6=0),"",SUMIF($D$30:$D$179,$D67,$E$30:$E$179)/$B$6)</f>
        <v/>
      </c>
      <c r="K67" s="47" t="str">
        <f aca="false">IF(OR($A67="",N($E67)=0),"",IF($B$6&lt;'Start Here'!$B$10,"too few plants",IF(AND($H67&lt;=0.1,$I67&lt;=0.2,$J67&lt;=0.3),"ok",TRIM(IF($H67&gt;0.1,"SPECIES ","")&amp;IF($I67&gt;0.2,"GENUS ","")&amp;IF($J67&gt;0.3,"FAMILY","")))))</f>
        <v/>
      </c>
    </row>
    <row r="68" customFormat="false" ht="15" hidden="false" customHeight="true" outlineLevel="0" collapsed="false">
      <c r="A68" s="43" t="str">
        <f aca="false">IF(Palette!$A40="","",Palette!$A40)</f>
        <v>Cistus x hybridus</v>
      </c>
      <c r="B68" s="47" t="str">
        <f aca="false">IF($A68="","",Palette!$K40)</f>
        <v>B</v>
      </c>
      <c r="C68" s="47" t="str">
        <f aca="false">IF($A68="","",Palette!$C40)</f>
        <v>Cistus</v>
      </c>
      <c r="D68" s="47" t="str">
        <f aca="false">IF($A68="","",Palette!$D40)</f>
        <v>Cistaceae</v>
      </c>
      <c r="E68" s="42" t="n">
        <f aca="false">IF($A68="","",SUMIF('Install Log'!$G$3:$G$202,$A68,'Install Log'!$J$3:$J$202))</f>
        <v>0</v>
      </c>
      <c r="F68" s="42" t="n">
        <f aca="false">IF($A68="","",SUMIF('Install Log'!$G$3:$G$202,$A68,'Install Log'!$R$3:$R$202))</f>
        <v>0</v>
      </c>
      <c r="G68" s="85" t="str">
        <f aca="false">IF(OR($A68="",N($E68)=0),"",IFERROR($F68/SUMIFS('Install Log'!$J$3:$J$202,'Install Log'!$G$3:$G$202,$A68,'Install Log'!$R$3:$R$202,"&lt;&gt;"),"—"))</f>
        <v/>
      </c>
      <c r="H68" s="88" t="str">
        <f aca="false">IF(OR($A68="",$B$6=0),"",$E68/$B$6)</f>
        <v/>
      </c>
      <c r="I68" s="88" t="str">
        <f aca="false">IF(OR($A68="",$B$6=0),"",SUMIF($C$30:$C$179,$C68,$E$30:$E$179)/$B$6)</f>
        <v/>
      </c>
      <c r="J68" s="88" t="str">
        <f aca="false">IF(OR($A68="",$B$6=0),"",SUMIF($D$30:$D$179,$D68,$E$30:$E$179)/$B$6)</f>
        <v/>
      </c>
      <c r="K68" s="47" t="str">
        <f aca="false">IF(OR($A68="",N($E68)=0),"",IF($B$6&lt;'Start Here'!$B$10,"too few plants",IF(AND($H68&lt;=0.1,$I68&lt;=0.2,$J68&lt;=0.3),"ok",TRIM(IF($H68&gt;0.1,"SPECIES ","")&amp;IF($I68&gt;0.2,"GENUS ","")&amp;IF($J68&gt;0.3,"FAMILY","")))))</f>
        <v/>
      </c>
    </row>
    <row r="69" customFormat="false" ht="15" hidden="false" customHeight="true" outlineLevel="0" collapsed="false">
      <c r="A69" s="43" t="str">
        <f aca="false">IF(Palette!$A41="","",Palette!$A41)</f>
        <v>Salvia rosmarinus</v>
      </c>
      <c r="B69" s="47" t="str">
        <f aca="false">IF($A69="","",Palette!$K41)</f>
        <v>B</v>
      </c>
      <c r="C69" s="47" t="str">
        <f aca="false">IF($A69="","",Palette!$C41)</f>
        <v>Salvia</v>
      </c>
      <c r="D69" s="47" t="str">
        <f aca="false">IF($A69="","",Palette!$D41)</f>
        <v>Lamiaceae</v>
      </c>
      <c r="E69" s="42" t="n">
        <f aca="false">IF($A69="","",SUMIF('Install Log'!$G$3:$G$202,$A69,'Install Log'!$J$3:$J$202))</f>
        <v>0</v>
      </c>
      <c r="F69" s="42" t="n">
        <f aca="false">IF($A69="","",SUMIF('Install Log'!$G$3:$G$202,$A69,'Install Log'!$R$3:$R$202))</f>
        <v>0</v>
      </c>
      <c r="G69" s="85" t="str">
        <f aca="false">IF(OR($A69="",N($E69)=0),"",IFERROR($F69/SUMIFS('Install Log'!$J$3:$J$202,'Install Log'!$G$3:$G$202,$A69,'Install Log'!$R$3:$R$202,"&lt;&gt;"),"—"))</f>
        <v/>
      </c>
      <c r="H69" s="88" t="str">
        <f aca="false">IF(OR($A69="",$B$6=0),"",$E69/$B$6)</f>
        <v/>
      </c>
      <c r="I69" s="88" t="str">
        <f aca="false">IF(OR($A69="",$B$6=0),"",SUMIF($C$30:$C$179,$C69,$E$30:$E$179)/$B$6)</f>
        <v/>
      </c>
      <c r="J69" s="88" t="str">
        <f aca="false">IF(OR($A69="",$B$6=0),"",SUMIF($D$30:$D$179,$D69,$E$30:$E$179)/$B$6)</f>
        <v/>
      </c>
      <c r="K69" s="47" t="str">
        <f aca="false">IF(OR($A69="",N($E69)=0),"",IF($B$6&lt;'Start Here'!$B$10,"too few plants",IF(AND($H69&lt;=0.1,$I69&lt;=0.2,$J69&lt;=0.3),"ok",TRIM(IF($H69&gt;0.1,"SPECIES ","")&amp;IF($I69&gt;0.2,"GENUS ","")&amp;IF($J69&gt;0.3,"FAMILY","")))))</f>
        <v/>
      </c>
    </row>
    <row r="70" customFormat="false" ht="15" hidden="false" customHeight="true" outlineLevel="0" collapsed="false">
      <c r="A70" s="43" t="str">
        <f aca="false">IF(Palette!$A42="","",Palette!$A42)</f>
        <v>Aesculus x carnea</v>
      </c>
      <c r="B70" s="47" t="str">
        <f aca="false">IF($A70="","",Palette!$K42)</f>
        <v>C</v>
      </c>
      <c r="C70" s="47" t="str">
        <f aca="false">IF($A70="","",Palette!$C42)</f>
        <v>Aesculus</v>
      </c>
      <c r="D70" s="47" t="str">
        <f aca="false">IF($A70="","",Palette!$D42)</f>
        <v>Sapindaceae</v>
      </c>
      <c r="E70" s="42" t="n">
        <f aca="false">IF($A70="","",SUMIF('Install Log'!$G$3:$G$202,$A70,'Install Log'!$J$3:$J$202))</f>
        <v>0</v>
      </c>
      <c r="F70" s="42" t="n">
        <f aca="false">IF($A70="","",SUMIF('Install Log'!$G$3:$G$202,$A70,'Install Log'!$R$3:$R$202))</f>
        <v>0</v>
      </c>
      <c r="G70" s="85" t="str">
        <f aca="false">IF(OR($A70="",N($E70)=0),"",IFERROR($F70/SUMIFS('Install Log'!$J$3:$J$202,'Install Log'!$G$3:$G$202,$A70,'Install Log'!$R$3:$R$202,"&lt;&gt;"),"—"))</f>
        <v/>
      </c>
      <c r="H70" s="88" t="str">
        <f aca="false">IF(OR($A70="",$B$6=0),"",$E70/$B$6)</f>
        <v/>
      </c>
      <c r="I70" s="88" t="str">
        <f aca="false">IF(OR($A70="",$B$6=0),"",SUMIF($C$30:$C$179,$C70,$E$30:$E$179)/$B$6)</f>
        <v/>
      </c>
      <c r="J70" s="88" t="str">
        <f aca="false">IF(OR($A70="",$B$6=0),"",SUMIF($D$30:$D$179,$D70,$E$30:$E$179)/$B$6)</f>
        <v/>
      </c>
      <c r="K70" s="47" t="str">
        <f aca="false">IF(OR($A70="",N($E70)=0),"",IF($B$6&lt;'Start Here'!$B$10,"too few plants",IF(AND($H70&lt;=0.1,$I70&lt;=0.2,$J70&lt;=0.3),"ok",TRIM(IF($H70&gt;0.1,"SPECIES ","")&amp;IF($I70&gt;0.2,"GENUS ","")&amp;IF($J70&gt;0.3,"FAMILY","")))))</f>
        <v/>
      </c>
    </row>
    <row r="71" customFormat="false" ht="15" hidden="false" customHeight="true" outlineLevel="0" collapsed="false">
      <c r="A71" s="43" t="str">
        <f aca="false">IF(Palette!$A43="","",Palette!$A43)</f>
        <v>Thuja plicata</v>
      </c>
      <c r="B71" s="47" t="str">
        <f aca="false">IF($A71="","",Palette!$K43)</f>
        <v>C</v>
      </c>
      <c r="C71" s="47" t="str">
        <f aca="false">IF($A71="","",Palette!$C43)</f>
        <v>Thuja</v>
      </c>
      <c r="D71" s="47" t="str">
        <f aca="false">IF($A71="","",Palette!$D43)</f>
        <v>Cupressaceae</v>
      </c>
      <c r="E71" s="42" t="n">
        <f aca="false">IF($A71="","",SUMIF('Install Log'!$G$3:$G$202,$A71,'Install Log'!$J$3:$J$202))</f>
        <v>0</v>
      </c>
      <c r="F71" s="42" t="n">
        <f aca="false">IF($A71="","",SUMIF('Install Log'!$G$3:$G$202,$A71,'Install Log'!$R$3:$R$202))</f>
        <v>0</v>
      </c>
      <c r="G71" s="85" t="str">
        <f aca="false">IF(OR($A71="",N($E71)=0),"",IFERROR($F71/SUMIFS('Install Log'!$J$3:$J$202,'Install Log'!$G$3:$G$202,$A71,'Install Log'!$R$3:$R$202,"&lt;&gt;"),"—"))</f>
        <v/>
      </c>
      <c r="H71" s="88" t="str">
        <f aca="false">IF(OR($A71="",$B$6=0),"",$E71/$B$6)</f>
        <v/>
      </c>
      <c r="I71" s="88" t="str">
        <f aca="false">IF(OR($A71="",$B$6=0),"",SUMIF($C$30:$C$179,$C71,$E$30:$E$179)/$B$6)</f>
        <v/>
      </c>
      <c r="J71" s="88" t="str">
        <f aca="false">IF(OR($A71="",$B$6=0),"",SUMIF($D$30:$D$179,$D71,$E$30:$E$179)/$B$6)</f>
        <v/>
      </c>
      <c r="K71" s="47" t="str">
        <f aca="false">IF(OR($A71="",N($E71)=0),"",IF($B$6&lt;'Start Here'!$B$10,"too few plants",IF(AND($H71&lt;=0.1,$I71&lt;=0.2,$J71&lt;=0.3),"ok",TRIM(IF($H71&gt;0.1,"SPECIES ","")&amp;IF($I71&gt;0.2,"GENUS ","")&amp;IF($J71&gt;0.3,"FAMILY","")))))</f>
        <v/>
      </c>
    </row>
    <row r="72" customFormat="false" ht="15" hidden="false" customHeight="true" outlineLevel="0" collapsed="false">
      <c r="A72" s="43" t="str">
        <f aca="false">IF(Palette!$A44="","",Palette!$A44)</f>
        <v>Viburnum opulus</v>
      </c>
      <c r="B72" s="47" t="str">
        <f aca="false">IF($A72="","",Palette!$K44)</f>
        <v>C</v>
      </c>
      <c r="C72" s="47" t="str">
        <f aca="false">IF($A72="","",Palette!$C44)</f>
        <v>Viburnum</v>
      </c>
      <c r="D72" s="47" t="str">
        <f aca="false">IF($A72="","",Palette!$D44)</f>
        <v>Viburnaceae</v>
      </c>
      <c r="E72" s="42" t="n">
        <f aca="false">IF($A72="","",SUMIF('Install Log'!$G$3:$G$202,$A72,'Install Log'!$J$3:$J$202))</f>
        <v>0</v>
      </c>
      <c r="F72" s="42" t="n">
        <f aca="false">IF($A72="","",SUMIF('Install Log'!$G$3:$G$202,$A72,'Install Log'!$R$3:$R$202))</f>
        <v>0</v>
      </c>
      <c r="G72" s="85" t="str">
        <f aca="false">IF(OR($A72="",N($E72)=0),"",IFERROR($F72/SUMIFS('Install Log'!$J$3:$J$202,'Install Log'!$G$3:$G$202,$A72,'Install Log'!$R$3:$R$202,"&lt;&gt;"),"—"))</f>
        <v/>
      </c>
      <c r="H72" s="88" t="str">
        <f aca="false">IF(OR($A72="",$B$6=0),"",$E72/$B$6)</f>
        <v/>
      </c>
      <c r="I72" s="88" t="str">
        <f aca="false">IF(OR($A72="",$B$6=0),"",SUMIF($C$30:$C$179,$C72,$E$30:$E$179)/$B$6)</f>
        <v/>
      </c>
      <c r="J72" s="88" t="str">
        <f aca="false">IF(OR($A72="",$B$6=0),"",SUMIF($D$30:$D$179,$D72,$E$30:$E$179)/$B$6)</f>
        <v/>
      </c>
      <c r="K72" s="47" t="str">
        <f aca="false">IF(OR($A72="",N($E72)=0),"",IF($B$6&lt;'Start Here'!$B$10,"too few plants",IF(AND($H72&lt;=0.1,$I72&lt;=0.2,$J72&lt;=0.3),"ok",TRIM(IF($H72&gt;0.1,"SPECIES ","")&amp;IF($I72&gt;0.2,"GENUS ","")&amp;IF($J72&gt;0.3,"FAMILY","")))))</f>
        <v/>
      </c>
    </row>
    <row r="73" customFormat="false" ht="15" hidden="false" customHeight="true" outlineLevel="0" collapsed="false">
      <c r="A73" s="43" t="str">
        <f aca="false">IF(Palette!$A45="","",Palette!$A45)</f>
        <v>Fraxinus latifolia</v>
      </c>
      <c r="B73" s="47" t="str">
        <f aca="false">IF($A73="","",Palette!$K45)</f>
        <v>Reject</v>
      </c>
      <c r="C73" s="47" t="str">
        <f aca="false">IF($A73="","",Palette!$C45)</f>
        <v>Fraxinus</v>
      </c>
      <c r="D73" s="47" t="str">
        <f aca="false">IF($A73="","",Palette!$D45)</f>
        <v>Oleaceae</v>
      </c>
      <c r="E73" s="42" t="n">
        <f aca="false">IF($A73="","",SUMIF('Install Log'!$G$3:$G$202,$A73,'Install Log'!$J$3:$J$202))</f>
        <v>0</v>
      </c>
      <c r="F73" s="42" t="n">
        <f aca="false">IF($A73="","",SUMIF('Install Log'!$G$3:$G$202,$A73,'Install Log'!$R$3:$R$202))</f>
        <v>0</v>
      </c>
      <c r="G73" s="85" t="str">
        <f aca="false">IF(OR($A73="",N($E73)=0),"",IFERROR($F73/SUMIFS('Install Log'!$J$3:$J$202,'Install Log'!$G$3:$G$202,$A73,'Install Log'!$R$3:$R$202,"&lt;&gt;"),"—"))</f>
        <v/>
      </c>
      <c r="H73" s="88" t="str">
        <f aca="false">IF(OR($A73="",$B$6=0),"",$E73/$B$6)</f>
        <v/>
      </c>
      <c r="I73" s="88" t="str">
        <f aca="false">IF(OR($A73="",$B$6=0),"",SUMIF($C$30:$C$179,$C73,$E$30:$E$179)/$B$6)</f>
        <v/>
      </c>
      <c r="J73" s="88" t="str">
        <f aca="false">IF(OR($A73="",$B$6=0),"",SUMIF($D$30:$D$179,$D73,$E$30:$E$179)/$B$6)</f>
        <v/>
      </c>
      <c r="K73" s="47" t="str">
        <f aca="false">IF(OR($A73="",N($E73)=0),"",IF($B$6&lt;'Start Here'!$B$10,"too few plants",IF(AND($H73&lt;=0.1,$I73&lt;=0.2,$J73&lt;=0.3),"ok",TRIM(IF($H73&gt;0.1,"SPECIES ","")&amp;IF($I73&gt;0.2,"GENUS ","")&amp;IF($J73&gt;0.3,"FAMILY","")))))</f>
        <v/>
      </c>
    </row>
    <row r="74" customFormat="false" ht="15" hidden="false" customHeight="true" outlineLevel="0" collapsed="false">
      <c r="A74" s="43" t="str">
        <f aca="false">IF(Palette!$A46="","",Palette!$A46)</f>
        <v>Prunus avium</v>
      </c>
      <c r="B74" s="47" t="str">
        <f aca="false">IF($A74="","",Palette!$K46)</f>
        <v>Reject</v>
      </c>
      <c r="C74" s="47" t="str">
        <f aca="false">IF($A74="","",Palette!$C46)</f>
        <v>Prunus</v>
      </c>
      <c r="D74" s="47" t="str">
        <f aca="false">IF($A74="","",Palette!$D46)</f>
        <v>Rosaceae</v>
      </c>
      <c r="E74" s="42" t="n">
        <f aca="false">IF($A74="","",SUMIF('Install Log'!$G$3:$G$202,$A74,'Install Log'!$J$3:$J$202))</f>
        <v>0</v>
      </c>
      <c r="F74" s="42" t="n">
        <f aca="false">IF($A74="","",SUMIF('Install Log'!$G$3:$G$202,$A74,'Install Log'!$R$3:$R$202))</f>
        <v>0</v>
      </c>
      <c r="G74" s="85" t="str">
        <f aca="false">IF(OR($A74="",N($E74)=0),"",IFERROR($F74/SUMIFS('Install Log'!$J$3:$J$202,'Install Log'!$G$3:$G$202,$A74,'Install Log'!$R$3:$R$202,"&lt;&gt;"),"—"))</f>
        <v/>
      </c>
      <c r="H74" s="88" t="str">
        <f aca="false">IF(OR($A74="",$B$6=0),"",$E74/$B$6)</f>
        <v/>
      </c>
      <c r="I74" s="88" t="str">
        <f aca="false">IF(OR($A74="",$B$6=0),"",SUMIF($C$30:$C$179,$C74,$E$30:$E$179)/$B$6)</f>
        <v/>
      </c>
      <c r="J74" s="88" t="str">
        <f aca="false">IF(OR($A74="",$B$6=0),"",SUMIF($D$30:$D$179,$D74,$E$30:$E$179)/$B$6)</f>
        <v/>
      </c>
      <c r="K74" s="47" t="str">
        <f aca="false">IF(OR($A74="",N($E74)=0),"",IF($B$6&lt;'Start Here'!$B$10,"too few plants",IF(AND($H74&lt;=0.1,$I74&lt;=0.2,$J74&lt;=0.3),"ok",TRIM(IF($H74&gt;0.1,"SPECIES ","")&amp;IF($I74&gt;0.2,"GENUS ","")&amp;IF($J74&gt;0.3,"FAMILY","")))))</f>
        <v/>
      </c>
    </row>
    <row r="75" customFormat="false" ht="15" hidden="false" customHeight="true" outlineLevel="0" collapsed="false">
      <c r="A75" s="43" t="str">
        <f aca="false">IF(Palette!$A47="","",Palette!$A47)</f>
        <v>Robinia pseudoacacia</v>
      </c>
      <c r="B75" s="47" t="str">
        <f aca="false">IF($A75="","",Palette!$K47)</f>
        <v>Reject</v>
      </c>
      <c r="C75" s="47" t="str">
        <f aca="false">IF($A75="","",Palette!$C47)</f>
        <v>Robinia</v>
      </c>
      <c r="D75" s="47" t="str">
        <f aca="false">IF($A75="","",Palette!$D47)</f>
        <v>Fabaceae</v>
      </c>
      <c r="E75" s="42" t="n">
        <f aca="false">IF($A75="","",SUMIF('Install Log'!$G$3:$G$202,$A75,'Install Log'!$J$3:$J$202))</f>
        <v>0</v>
      </c>
      <c r="F75" s="42" t="n">
        <f aca="false">IF($A75="","",SUMIF('Install Log'!$G$3:$G$202,$A75,'Install Log'!$R$3:$R$202))</f>
        <v>0</v>
      </c>
      <c r="G75" s="85" t="str">
        <f aca="false">IF(OR($A75="",N($E75)=0),"",IFERROR($F75/SUMIFS('Install Log'!$J$3:$J$202,'Install Log'!$G$3:$G$202,$A75,'Install Log'!$R$3:$R$202,"&lt;&gt;"),"—"))</f>
        <v/>
      </c>
      <c r="H75" s="88" t="str">
        <f aca="false">IF(OR($A75="",$B$6=0),"",$E75/$B$6)</f>
        <v/>
      </c>
      <c r="I75" s="88" t="str">
        <f aca="false">IF(OR($A75="",$B$6=0),"",SUMIF($C$30:$C$179,$C75,$E$30:$E$179)/$B$6)</f>
        <v/>
      </c>
      <c r="J75" s="88" t="str">
        <f aca="false">IF(OR($A75="",$B$6=0),"",SUMIF($D$30:$D$179,$D75,$E$30:$E$179)/$B$6)</f>
        <v/>
      </c>
      <c r="K75" s="47" t="str">
        <f aca="false">IF(OR($A75="",N($E75)=0),"",IF($B$6&lt;'Start Here'!$B$10,"too few plants",IF(AND($H75&lt;=0.1,$I75&lt;=0.2,$J75&lt;=0.3),"ok",TRIM(IF($H75&gt;0.1,"SPECIES ","")&amp;IF($I75&gt;0.2,"GENUS ","")&amp;IF($J75&gt;0.3,"FAMILY","")))))</f>
        <v/>
      </c>
    </row>
    <row r="76" customFormat="false" ht="15" hidden="false" customHeight="true" outlineLevel="0" collapsed="false">
      <c r="A76" s="43" t="str">
        <f aca="false">IF(Palette!$A48="","",Palette!$A48)</f>
        <v>x Chitalpa tashkentensis</v>
      </c>
      <c r="B76" s="47" t="str">
        <f aca="false">IF($A76="","",Palette!$K48)</f>
        <v>Reject</v>
      </c>
      <c r="C76" s="47" t="str">
        <f aca="false">IF($A76="","",Palette!$C48)</f>
        <v>Chitalpa</v>
      </c>
      <c r="D76" s="47" t="str">
        <f aca="false">IF($A76="","",Palette!$D48)</f>
        <v>Bignoniaceae</v>
      </c>
      <c r="E76" s="42" t="n">
        <f aca="false">IF($A76="","",SUMIF('Install Log'!$G$3:$G$202,$A76,'Install Log'!$J$3:$J$202))</f>
        <v>0</v>
      </c>
      <c r="F76" s="42" t="n">
        <f aca="false">IF($A76="","",SUMIF('Install Log'!$G$3:$G$202,$A76,'Install Log'!$R$3:$R$202))</f>
        <v>0</v>
      </c>
      <c r="G76" s="85" t="str">
        <f aca="false">IF(OR($A76="",N($E76)=0),"",IFERROR($F76/SUMIFS('Install Log'!$J$3:$J$202,'Install Log'!$G$3:$G$202,$A76,'Install Log'!$R$3:$R$202,"&lt;&gt;"),"—"))</f>
        <v/>
      </c>
      <c r="H76" s="88" t="str">
        <f aca="false">IF(OR($A76="",$B$6=0),"",$E76/$B$6)</f>
        <v/>
      </c>
      <c r="I76" s="88" t="str">
        <f aca="false">IF(OR($A76="",$B$6=0),"",SUMIF($C$30:$C$179,$C76,$E$30:$E$179)/$B$6)</f>
        <v/>
      </c>
      <c r="J76" s="88" t="str">
        <f aca="false">IF(OR($A76="",$B$6=0),"",SUMIF($D$30:$D$179,$D76,$E$30:$E$179)/$B$6)</f>
        <v/>
      </c>
      <c r="K76" s="47" t="str">
        <f aca="false">IF(OR($A76="",N($E76)=0),"",IF($B$6&lt;'Start Here'!$B$10,"too few plants",IF(AND($H76&lt;=0.1,$I76&lt;=0.2,$J76&lt;=0.3),"ok",TRIM(IF($H76&gt;0.1,"SPECIES ","")&amp;IF($I76&gt;0.2,"GENUS ","")&amp;IF($J76&gt;0.3,"FAMILY","")))))</f>
        <v/>
      </c>
    </row>
    <row r="77" customFormat="false" ht="15" hidden="false" customHeight="true" outlineLevel="0" collapsed="false">
      <c r="A77" s="43" t="str">
        <f aca="false">IF(Palette!$A49="","",Palette!$A49)</f>
        <v>Elaeagnus umbellata</v>
      </c>
      <c r="B77" s="47" t="str">
        <f aca="false">IF($A77="","",Palette!$K49)</f>
        <v>Reject</v>
      </c>
      <c r="C77" s="47" t="str">
        <f aca="false">IF($A77="","",Palette!$C49)</f>
        <v>Elaeagnus</v>
      </c>
      <c r="D77" s="47" t="str">
        <f aca="false">IF($A77="","",Palette!$D49)</f>
        <v>Elaeagnaceae</v>
      </c>
      <c r="E77" s="42" t="n">
        <f aca="false">IF($A77="","",SUMIF('Install Log'!$G$3:$G$202,$A77,'Install Log'!$J$3:$J$202))</f>
        <v>0</v>
      </c>
      <c r="F77" s="42" t="n">
        <f aca="false">IF($A77="","",SUMIF('Install Log'!$G$3:$G$202,$A77,'Install Log'!$R$3:$R$202))</f>
        <v>0</v>
      </c>
      <c r="G77" s="85" t="str">
        <f aca="false">IF(OR($A77="",N($E77)=0),"",IFERROR($F77/SUMIFS('Install Log'!$J$3:$J$202,'Install Log'!$G$3:$G$202,$A77,'Install Log'!$R$3:$R$202,"&lt;&gt;"),"—"))</f>
        <v/>
      </c>
      <c r="H77" s="88" t="str">
        <f aca="false">IF(OR($A77="",$B$6=0),"",$E77/$B$6)</f>
        <v/>
      </c>
      <c r="I77" s="88" t="str">
        <f aca="false">IF(OR($A77="",$B$6=0),"",SUMIF($C$30:$C$179,$C77,$E$30:$E$179)/$B$6)</f>
        <v/>
      </c>
      <c r="J77" s="88" t="str">
        <f aca="false">IF(OR($A77="",$B$6=0),"",SUMIF($D$30:$D$179,$D77,$E$30:$E$179)/$B$6)</f>
        <v/>
      </c>
      <c r="K77" s="47" t="str">
        <f aca="false">IF(OR($A77="",N($E77)=0),"",IF($B$6&lt;'Start Here'!$B$10,"too few plants",IF(AND($H77&lt;=0.1,$I77&lt;=0.2,$J77&lt;=0.3),"ok",TRIM(IF($H77&gt;0.1,"SPECIES ","")&amp;IF($I77&gt;0.2,"GENUS ","")&amp;IF($J77&gt;0.3,"FAMILY","")))))</f>
        <v/>
      </c>
    </row>
    <row r="78" customFormat="false" ht="15" hidden="false" customHeight="true" outlineLevel="0" collapsed="false">
      <c r="A78" s="43" t="str">
        <f aca="false">IF(Palette!$A50="","",Palette!$A50)</f>
        <v/>
      </c>
      <c r="B78" s="47" t="str">
        <f aca="false">IF($A78="","",Palette!$K50)</f>
        <v/>
      </c>
      <c r="C78" s="47" t="str">
        <f aca="false">IF($A78="","",Palette!$C50)</f>
        <v/>
      </c>
      <c r="D78" s="47" t="str">
        <f aca="false">IF($A78="","",Palette!$D50)</f>
        <v/>
      </c>
      <c r="E78" s="42" t="str">
        <f aca="false">IF($A78="","",SUMIF('Install Log'!$G$3:$G$202,$A78,'Install Log'!$J$3:$J$202))</f>
        <v/>
      </c>
      <c r="F78" s="42" t="str">
        <f aca="false">IF($A78="","",SUMIF('Install Log'!$G$3:$G$202,$A78,'Install Log'!$R$3:$R$202))</f>
        <v/>
      </c>
      <c r="G78" s="85" t="str">
        <f aca="false">IF(OR($A78="",N($E78)=0),"",IFERROR($F78/SUMIFS('Install Log'!$J$3:$J$202,'Install Log'!$G$3:$G$202,$A78,'Install Log'!$R$3:$R$202,"&lt;&gt;"),"—"))</f>
        <v/>
      </c>
      <c r="H78" s="88" t="str">
        <f aca="false">IF(OR($A78="",$B$6=0),"",$E78/$B$6)</f>
        <v/>
      </c>
      <c r="I78" s="88" t="str">
        <f aca="false">IF(OR($A78="",$B$6=0),"",SUMIF($C$30:$C$179,$C78,$E$30:$E$179)/$B$6)</f>
        <v/>
      </c>
      <c r="J78" s="88" t="str">
        <f aca="false">IF(OR($A78="",$B$6=0),"",SUMIF($D$30:$D$179,$D78,$E$30:$E$179)/$B$6)</f>
        <v/>
      </c>
      <c r="K78" s="47" t="str">
        <f aca="false">IF(OR($A78="",N($E78)=0),"",IF($B$6&lt;'Start Here'!$B$10,"too few plants",IF(AND($H78&lt;=0.1,$I78&lt;=0.2,$J78&lt;=0.3),"ok",TRIM(IF($H78&gt;0.1,"SPECIES ","")&amp;IF($I78&gt;0.2,"GENUS ","")&amp;IF($J78&gt;0.3,"FAMILY","")))))</f>
        <v/>
      </c>
    </row>
    <row r="79" customFormat="false" ht="15" hidden="false" customHeight="true" outlineLevel="0" collapsed="false">
      <c r="A79" s="43" t="str">
        <f aca="false">IF(Palette!$A51="","",Palette!$A51)</f>
        <v/>
      </c>
      <c r="B79" s="47" t="str">
        <f aca="false">IF($A79="","",Palette!$K51)</f>
        <v/>
      </c>
      <c r="C79" s="47" t="str">
        <f aca="false">IF($A79="","",Palette!$C51)</f>
        <v/>
      </c>
      <c r="D79" s="47" t="str">
        <f aca="false">IF($A79="","",Palette!$D51)</f>
        <v/>
      </c>
      <c r="E79" s="42" t="str">
        <f aca="false">IF($A79="","",SUMIF('Install Log'!$G$3:$G$202,$A79,'Install Log'!$J$3:$J$202))</f>
        <v/>
      </c>
      <c r="F79" s="42" t="str">
        <f aca="false">IF($A79="","",SUMIF('Install Log'!$G$3:$G$202,$A79,'Install Log'!$R$3:$R$202))</f>
        <v/>
      </c>
      <c r="G79" s="85" t="str">
        <f aca="false">IF(OR($A79="",N($E79)=0),"",IFERROR($F79/SUMIFS('Install Log'!$J$3:$J$202,'Install Log'!$G$3:$G$202,$A79,'Install Log'!$R$3:$R$202,"&lt;&gt;"),"—"))</f>
        <v/>
      </c>
      <c r="H79" s="88" t="str">
        <f aca="false">IF(OR($A79="",$B$6=0),"",$E79/$B$6)</f>
        <v/>
      </c>
      <c r="I79" s="88" t="str">
        <f aca="false">IF(OR($A79="",$B$6=0),"",SUMIF($C$30:$C$179,$C79,$E$30:$E$179)/$B$6)</f>
        <v/>
      </c>
      <c r="J79" s="88" t="str">
        <f aca="false">IF(OR($A79="",$B$6=0),"",SUMIF($D$30:$D$179,$D79,$E$30:$E$179)/$B$6)</f>
        <v/>
      </c>
      <c r="K79" s="47" t="str">
        <f aca="false">IF(OR($A79="",N($E79)=0),"",IF($B$6&lt;'Start Here'!$B$10,"too few plants",IF(AND($H79&lt;=0.1,$I79&lt;=0.2,$J79&lt;=0.3),"ok",TRIM(IF($H79&gt;0.1,"SPECIES ","")&amp;IF($I79&gt;0.2,"GENUS ","")&amp;IF($J79&gt;0.3,"FAMILY","")))))</f>
        <v/>
      </c>
    </row>
    <row r="80" customFormat="false" ht="15" hidden="false" customHeight="true" outlineLevel="0" collapsed="false">
      <c r="A80" s="43" t="str">
        <f aca="false">IF(Palette!$A52="","",Palette!$A52)</f>
        <v/>
      </c>
      <c r="B80" s="47" t="str">
        <f aca="false">IF($A80="","",Palette!$K52)</f>
        <v/>
      </c>
      <c r="C80" s="47" t="str">
        <f aca="false">IF($A80="","",Palette!$C52)</f>
        <v/>
      </c>
      <c r="D80" s="47" t="str">
        <f aca="false">IF($A80="","",Palette!$D52)</f>
        <v/>
      </c>
      <c r="E80" s="42" t="str">
        <f aca="false">IF($A80="","",SUMIF('Install Log'!$G$3:$G$202,$A80,'Install Log'!$J$3:$J$202))</f>
        <v/>
      </c>
      <c r="F80" s="42" t="str">
        <f aca="false">IF($A80="","",SUMIF('Install Log'!$G$3:$G$202,$A80,'Install Log'!$R$3:$R$202))</f>
        <v/>
      </c>
      <c r="G80" s="85" t="str">
        <f aca="false">IF(OR($A80="",N($E80)=0),"",IFERROR($F80/SUMIFS('Install Log'!$J$3:$J$202,'Install Log'!$G$3:$G$202,$A80,'Install Log'!$R$3:$R$202,"&lt;&gt;"),"—"))</f>
        <v/>
      </c>
      <c r="H80" s="88" t="str">
        <f aca="false">IF(OR($A80="",$B$6=0),"",$E80/$B$6)</f>
        <v/>
      </c>
      <c r="I80" s="88" t="str">
        <f aca="false">IF(OR($A80="",$B$6=0),"",SUMIF($C$30:$C$179,$C80,$E$30:$E$179)/$B$6)</f>
        <v/>
      </c>
      <c r="J80" s="88" t="str">
        <f aca="false">IF(OR($A80="",$B$6=0),"",SUMIF($D$30:$D$179,$D80,$E$30:$E$179)/$B$6)</f>
        <v/>
      </c>
      <c r="K80" s="47" t="str">
        <f aca="false">IF(OR($A80="",N($E80)=0),"",IF($B$6&lt;'Start Here'!$B$10,"too few plants",IF(AND($H80&lt;=0.1,$I80&lt;=0.2,$J80&lt;=0.3),"ok",TRIM(IF($H80&gt;0.1,"SPECIES ","")&amp;IF($I80&gt;0.2,"GENUS ","")&amp;IF($J80&gt;0.3,"FAMILY","")))))</f>
        <v/>
      </c>
    </row>
    <row r="81" customFormat="false" ht="15" hidden="false" customHeight="true" outlineLevel="0" collapsed="false">
      <c r="A81" s="43" t="str">
        <f aca="false">IF(Palette!$A53="","",Palette!$A53)</f>
        <v/>
      </c>
      <c r="B81" s="47" t="str">
        <f aca="false">IF($A81="","",Palette!$K53)</f>
        <v/>
      </c>
      <c r="C81" s="47" t="str">
        <f aca="false">IF($A81="","",Palette!$C53)</f>
        <v/>
      </c>
      <c r="D81" s="47" t="str">
        <f aca="false">IF($A81="","",Palette!$D53)</f>
        <v/>
      </c>
      <c r="E81" s="42" t="str">
        <f aca="false">IF($A81="","",SUMIF('Install Log'!$G$3:$G$202,$A81,'Install Log'!$J$3:$J$202))</f>
        <v/>
      </c>
      <c r="F81" s="42" t="str">
        <f aca="false">IF($A81="","",SUMIF('Install Log'!$G$3:$G$202,$A81,'Install Log'!$R$3:$R$202))</f>
        <v/>
      </c>
      <c r="G81" s="85" t="str">
        <f aca="false">IF(OR($A81="",N($E81)=0),"",IFERROR($F81/SUMIFS('Install Log'!$J$3:$J$202,'Install Log'!$G$3:$G$202,$A81,'Install Log'!$R$3:$R$202,"&lt;&gt;"),"—"))</f>
        <v/>
      </c>
      <c r="H81" s="88" t="str">
        <f aca="false">IF(OR($A81="",$B$6=0),"",$E81/$B$6)</f>
        <v/>
      </c>
      <c r="I81" s="88" t="str">
        <f aca="false">IF(OR($A81="",$B$6=0),"",SUMIF($C$30:$C$179,$C81,$E$30:$E$179)/$B$6)</f>
        <v/>
      </c>
      <c r="J81" s="88" t="str">
        <f aca="false">IF(OR($A81="",$B$6=0),"",SUMIF($D$30:$D$179,$D81,$E$30:$E$179)/$B$6)</f>
        <v/>
      </c>
      <c r="K81" s="47" t="str">
        <f aca="false">IF(OR($A81="",N($E81)=0),"",IF($B$6&lt;'Start Here'!$B$10,"too few plants",IF(AND($H81&lt;=0.1,$I81&lt;=0.2,$J81&lt;=0.3),"ok",TRIM(IF($H81&gt;0.1,"SPECIES ","")&amp;IF($I81&gt;0.2,"GENUS ","")&amp;IF($J81&gt;0.3,"FAMILY","")))))</f>
        <v/>
      </c>
    </row>
    <row r="82" customFormat="false" ht="15" hidden="false" customHeight="true" outlineLevel="0" collapsed="false">
      <c r="A82" s="43" t="str">
        <f aca="false">IF(Palette!$A54="","",Palette!$A54)</f>
        <v/>
      </c>
      <c r="B82" s="47" t="str">
        <f aca="false">IF($A82="","",Palette!$K54)</f>
        <v/>
      </c>
      <c r="C82" s="47" t="str">
        <f aca="false">IF($A82="","",Palette!$C54)</f>
        <v/>
      </c>
      <c r="D82" s="47" t="str">
        <f aca="false">IF($A82="","",Palette!$D54)</f>
        <v/>
      </c>
      <c r="E82" s="42" t="str">
        <f aca="false">IF($A82="","",SUMIF('Install Log'!$G$3:$G$202,$A82,'Install Log'!$J$3:$J$202))</f>
        <v/>
      </c>
      <c r="F82" s="42" t="str">
        <f aca="false">IF($A82="","",SUMIF('Install Log'!$G$3:$G$202,$A82,'Install Log'!$R$3:$R$202))</f>
        <v/>
      </c>
      <c r="G82" s="85" t="str">
        <f aca="false">IF(OR($A82="",N($E82)=0),"",IFERROR($F82/SUMIFS('Install Log'!$J$3:$J$202,'Install Log'!$G$3:$G$202,$A82,'Install Log'!$R$3:$R$202,"&lt;&gt;"),"—"))</f>
        <v/>
      </c>
      <c r="H82" s="88" t="str">
        <f aca="false">IF(OR($A82="",$B$6=0),"",$E82/$B$6)</f>
        <v/>
      </c>
      <c r="I82" s="88" t="str">
        <f aca="false">IF(OR($A82="",$B$6=0),"",SUMIF($C$30:$C$179,$C82,$E$30:$E$179)/$B$6)</f>
        <v/>
      </c>
      <c r="J82" s="88" t="str">
        <f aca="false">IF(OR($A82="",$B$6=0),"",SUMIF($D$30:$D$179,$D82,$E$30:$E$179)/$B$6)</f>
        <v/>
      </c>
      <c r="K82" s="47" t="str">
        <f aca="false">IF(OR($A82="",N($E82)=0),"",IF($B$6&lt;'Start Here'!$B$10,"too few plants",IF(AND($H82&lt;=0.1,$I82&lt;=0.2,$J82&lt;=0.3),"ok",TRIM(IF($H82&gt;0.1,"SPECIES ","")&amp;IF($I82&gt;0.2,"GENUS ","")&amp;IF($J82&gt;0.3,"FAMILY","")))))</f>
        <v/>
      </c>
    </row>
    <row r="83" customFormat="false" ht="15" hidden="false" customHeight="true" outlineLevel="0" collapsed="false">
      <c r="A83" s="43" t="str">
        <f aca="false">IF(Palette!$A55="","",Palette!$A55)</f>
        <v/>
      </c>
      <c r="B83" s="47" t="str">
        <f aca="false">IF($A83="","",Palette!$K55)</f>
        <v/>
      </c>
      <c r="C83" s="47" t="str">
        <f aca="false">IF($A83="","",Palette!$C55)</f>
        <v/>
      </c>
      <c r="D83" s="47" t="str">
        <f aca="false">IF($A83="","",Palette!$D55)</f>
        <v/>
      </c>
      <c r="E83" s="42" t="str">
        <f aca="false">IF($A83="","",SUMIF('Install Log'!$G$3:$G$202,$A83,'Install Log'!$J$3:$J$202))</f>
        <v/>
      </c>
      <c r="F83" s="42" t="str">
        <f aca="false">IF($A83="","",SUMIF('Install Log'!$G$3:$G$202,$A83,'Install Log'!$R$3:$R$202))</f>
        <v/>
      </c>
      <c r="G83" s="85" t="str">
        <f aca="false">IF(OR($A83="",N($E83)=0),"",IFERROR($F83/SUMIFS('Install Log'!$J$3:$J$202,'Install Log'!$G$3:$G$202,$A83,'Install Log'!$R$3:$R$202,"&lt;&gt;"),"—"))</f>
        <v/>
      </c>
      <c r="H83" s="88" t="str">
        <f aca="false">IF(OR($A83="",$B$6=0),"",$E83/$B$6)</f>
        <v/>
      </c>
      <c r="I83" s="88" t="str">
        <f aca="false">IF(OR($A83="",$B$6=0),"",SUMIF($C$30:$C$179,$C83,$E$30:$E$179)/$B$6)</f>
        <v/>
      </c>
      <c r="J83" s="88" t="str">
        <f aca="false">IF(OR($A83="",$B$6=0),"",SUMIF($D$30:$D$179,$D83,$E$30:$E$179)/$B$6)</f>
        <v/>
      </c>
      <c r="K83" s="47" t="str">
        <f aca="false">IF(OR($A83="",N($E83)=0),"",IF($B$6&lt;'Start Here'!$B$10,"too few plants",IF(AND($H83&lt;=0.1,$I83&lt;=0.2,$J83&lt;=0.3),"ok",TRIM(IF($H83&gt;0.1,"SPECIES ","")&amp;IF($I83&gt;0.2,"GENUS ","")&amp;IF($J83&gt;0.3,"FAMILY","")))))</f>
        <v/>
      </c>
    </row>
    <row r="84" customFormat="false" ht="15" hidden="false" customHeight="true" outlineLevel="0" collapsed="false">
      <c r="A84" s="43" t="str">
        <f aca="false">IF(Palette!$A56="","",Palette!$A56)</f>
        <v/>
      </c>
      <c r="B84" s="47" t="str">
        <f aca="false">IF($A84="","",Palette!$K56)</f>
        <v/>
      </c>
      <c r="C84" s="47" t="str">
        <f aca="false">IF($A84="","",Palette!$C56)</f>
        <v/>
      </c>
      <c r="D84" s="47" t="str">
        <f aca="false">IF($A84="","",Palette!$D56)</f>
        <v/>
      </c>
      <c r="E84" s="42" t="str">
        <f aca="false">IF($A84="","",SUMIF('Install Log'!$G$3:$G$202,$A84,'Install Log'!$J$3:$J$202))</f>
        <v/>
      </c>
      <c r="F84" s="42" t="str">
        <f aca="false">IF($A84="","",SUMIF('Install Log'!$G$3:$G$202,$A84,'Install Log'!$R$3:$R$202))</f>
        <v/>
      </c>
      <c r="G84" s="85" t="str">
        <f aca="false">IF(OR($A84="",N($E84)=0),"",IFERROR($F84/SUMIFS('Install Log'!$J$3:$J$202,'Install Log'!$G$3:$G$202,$A84,'Install Log'!$R$3:$R$202,"&lt;&gt;"),"—"))</f>
        <v/>
      </c>
      <c r="H84" s="88" t="str">
        <f aca="false">IF(OR($A84="",$B$6=0),"",$E84/$B$6)</f>
        <v/>
      </c>
      <c r="I84" s="88" t="str">
        <f aca="false">IF(OR($A84="",$B$6=0),"",SUMIF($C$30:$C$179,$C84,$E$30:$E$179)/$B$6)</f>
        <v/>
      </c>
      <c r="J84" s="88" t="str">
        <f aca="false">IF(OR($A84="",$B$6=0),"",SUMIF($D$30:$D$179,$D84,$E$30:$E$179)/$B$6)</f>
        <v/>
      </c>
      <c r="K84" s="47" t="str">
        <f aca="false">IF(OR($A84="",N($E84)=0),"",IF($B$6&lt;'Start Here'!$B$10,"too few plants",IF(AND($H84&lt;=0.1,$I84&lt;=0.2,$J84&lt;=0.3),"ok",TRIM(IF($H84&gt;0.1,"SPECIES ","")&amp;IF($I84&gt;0.2,"GENUS ","")&amp;IF($J84&gt;0.3,"FAMILY","")))))</f>
        <v/>
      </c>
    </row>
    <row r="85" customFormat="false" ht="15" hidden="false" customHeight="true" outlineLevel="0" collapsed="false">
      <c r="A85" s="43" t="str">
        <f aca="false">IF(Palette!$A57="","",Palette!$A57)</f>
        <v/>
      </c>
      <c r="B85" s="47" t="str">
        <f aca="false">IF($A85="","",Palette!$K57)</f>
        <v/>
      </c>
      <c r="C85" s="47" t="str">
        <f aca="false">IF($A85="","",Palette!$C57)</f>
        <v/>
      </c>
      <c r="D85" s="47" t="str">
        <f aca="false">IF($A85="","",Palette!$D57)</f>
        <v/>
      </c>
      <c r="E85" s="42" t="str">
        <f aca="false">IF($A85="","",SUMIF('Install Log'!$G$3:$G$202,$A85,'Install Log'!$J$3:$J$202))</f>
        <v/>
      </c>
      <c r="F85" s="42" t="str">
        <f aca="false">IF($A85="","",SUMIF('Install Log'!$G$3:$G$202,$A85,'Install Log'!$R$3:$R$202))</f>
        <v/>
      </c>
      <c r="G85" s="85" t="str">
        <f aca="false">IF(OR($A85="",N($E85)=0),"",IFERROR($F85/SUMIFS('Install Log'!$J$3:$J$202,'Install Log'!$G$3:$G$202,$A85,'Install Log'!$R$3:$R$202,"&lt;&gt;"),"—"))</f>
        <v/>
      </c>
      <c r="H85" s="88" t="str">
        <f aca="false">IF(OR($A85="",$B$6=0),"",$E85/$B$6)</f>
        <v/>
      </c>
      <c r="I85" s="88" t="str">
        <f aca="false">IF(OR($A85="",$B$6=0),"",SUMIF($C$30:$C$179,$C85,$E$30:$E$179)/$B$6)</f>
        <v/>
      </c>
      <c r="J85" s="88" t="str">
        <f aca="false">IF(OR($A85="",$B$6=0),"",SUMIF($D$30:$D$179,$D85,$E$30:$E$179)/$B$6)</f>
        <v/>
      </c>
      <c r="K85" s="47" t="str">
        <f aca="false">IF(OR($A85="",N($E85)=0),"",IF($B$6&lt;'Start Here'!$B$10,"too few plants",IF(AND($H85&lt;=0.1,$I85&lt;=0.2,$J85&lt;=0.3),"ok",TRIM(IF($H85&gt;0.1,"SPECIES ","")&amp;IF($I85&gt;0.2,"GENUS ","")&amp;IF($J85&gt;0.3,"FAMILY","")))))</f>
        <v/>
      </c>
    </row>
    <row r="86" customFormat="false" ht="15" hidden="false" customHeight="true" outlineLevel="0" collapsed="false">
      <c r="A86" s="43" t="str">
        <f aca="false">IF(Palette!$A58="","",Palette!$A58)</f>
        <v/>
      </c>
      <c r="B86" s="47" t="str">
        <f aca="false">IF($A86="","",Palette!$K58)</f>
        <v/>
      </c>
      <c r="C86" s="47" t="str">
        <f aca="false">IF($A86="","",Palette!$C58)</f>
        <v/>
      </c>
      <c r="D86" s="47" t="str">
        <f aca="false">IF($A86="","",Palette!$D58)</f>
        <v/>
      </c>
      <c r="E86" s="42" t="str">
        <f aca="false">IF($A86="","",SUMIF('Install Log'!$G$3:$G$202,$A86,'Install Log'!$J$3:$J$202))</f>
        <v/>
      </c>
      <c r="F86" s="42" t="str">
        <f aca="false">IF($A86="","",SUMIF('Install Log'!$G$3:$G$202,$A86,'Install Log'!$R$3:$R$202))</f>
        <v/>
      </c>
      <c r="G86" s="85" t="str">
        <f aca="false">IF(OR($A86="",N($E86)=0),"",IFERROR($F86/SUMIFS('Install Log'!$J$3:$J$202,'Install Log'!$G$3:$G$202,$A86,'Install Log'!$R$3:$R$202,"&lt;&gt;"),"—"))</f>
        <v/>
      </c>
      <c r="H86" s="88" t="str">
        <f aca="false">IF(OR($A86="",$B$6=0),"",$E86/$B$6)</f>
        <v/>
      </c>
      <c r="I86" s="88" t="str">
        <f aca="false">IF(OR($A86="",$B$6=0),"",SUMIF($C$30:$C$179,$C86,$E$30:$E$179)/$B$6)</f>
        <v/>
      </c>
      <c r="J86" s="88" t="str">
        <f aca="false">IF(OR($A86="",$B$6=0),"",SUMIF($D$30:$D$179,$D86,$E$30:$E$179)/$B$6)</f>
        <v/>
      </c>
      <c r="K86" s="47" t="str">
        <f aca="false">IF(OR($A86="",N($E86)=0),"",IF($B$6&lt;'Start Here'!$B$10,"too few plants",IF(AND($H86&lt;=0.1,$I86&lt;=0.2,$J86&lt;=0.3),"ok",TRIM(IF($H86&gt;0.1,"SPECIES ","")&amp;IF($I86&gt;0.2,"GENUS ","")&amp;IF($J86&gt;0.3,"FAMILY","")))))</f>
        <v/>
      </c>
    </row>
    <row r="87" customFormat="false" ht="15" hidden="false" customHeight="true" outlineLevel="0" collapsed="false">
      <c r="A87" s="43" t="str">
        <f aca="false">IF(Palette!$A59="","",Palette!$A59)</f>
        <v/>
      </c>
      <c r="B87" s="47" t="str">
        <f aca="false">IF($A87="","",Palette!$K59)</f>
        <v/>
      </c>
      <c r="C87" s="47" t="str">
        <f aca="false">IF($A87="","",Palette!$C59)</f>
        <v/>
      </c>
      <c r="D87" s="47" t="str">
        <f aca="false">IF($A87="","",Palette!$D59)</f>
        <v/>
      </c>
      <c r="E87" s="42" t="str">
        <f aca="false">IF($A87="","",SUMIF('Install Log'!$G$3:$G$202,$A87,'Install Log'!$J$3:$J$202))</f>
        <v/>
      </c>
      <c r="F87" s="42" t="str">
        <f aca="false">IF($A87="","",SUMIF('Install Log'!$G$3:$G$202,$A87,'Install Log'!$R$3:$R$202))</f>
        <v/>
      </c>
      <c r="G87" s="85" t="str">
        <f aca="false">IF(OR($A87="",N($E87)=0),"",IFERROR($F87/SUMIFS('Install Log'!$J$3:$J$202,'Install Log'!$G$3:$G$202,$A87,'Install Log'!$R$3:$R$202,"&lt;&gt;"),"—"))</f>
        <v/>
      </c>
      <c r="H87" s="88" t="str">
        <f aca="false">IF(OR($A87="",$B$6=0),"",$E87/$B$6)</f>
        <v/>
      </c>
      <c r="I87" s="88" t="str">
        <f aca="false">IF(OR($A87="",$B$6=0),"",SUMIF($C$30:$C$179,$C87,$E$30:$E$179)/$B$6)</f>
        <v/>
      </c>
      <c r="J87" s="88" t="str">
        <f aca="false">IF(OR($A87="",$B$6=0),"",SUMIF($D$30:$D$179,$D87,$E$30:$E$179)/$B$6)</f>
        <v/>
      </c>
      <c r="K87" s="47" t="str">
        <f aca="false">IF(OR($A87="",N($E87)=0),"",IF($B$6&lt;'Start Here'!$B$10,"too few plants",IF(AND($H87&lt;=0.1,$I87&lt;=0.2,$J87&lt;=0.3),"ok",TRIM(IF($H87&gt;0.1,"SPECIES ","")&amp;IF($I87&gt;0.2,"GENUS ","")&amp;IF($J87&gt;0.3,"FAMILY","")))))</f>
        <v/>
      </c>
    </row>
    <row r="88" customFormat="false" ht="15" hidden="false" customHeight="true" outlineLevel="0" collapsed="false">
      <c r="A88" s="43" t="str">
        <f aca="false">IF(Palette!$A60="","",Palette!$A60)</f>
        <v/>
      </c>
      <c r="B88" s="47" t="str">
        <f aca="false">IF($A88="","",Palette!$K60)</f>
        <v/>
      </c>
      <c r="C88" s="47" t="str">
        <f aca="false">IF($A88="","",Palette!$C60)</f>
        <v/>
      </c>
      <c r="D88" s="47" t="str">
        <f aca="false">IF($A88="","",Palette!$D60)</f>
        <v/>
      </c>
      <c r="E88" s="42" t="str">
        <f aca="false">IF($A88="","",SUMIF('Install Log'!$G$3:$G$202,$A88,'Install Log'!$J$3:$J$202))</f>
        <v/>
      </c>
      <c r="F88" s="42" t="str">
        <f aca="false">IF($A88="","",SUMIF('Install Log'!$G$3:$G$202,$A88,'Install Log'!$R$3:$R$202))</f>
        <v/>
      </c>
      <c r="G88" s="85" t="str">
        <f aca="false">IF(OR($A88="",N($E88)=0),"",IFERROR($F88/SUMIFS('Install Log'!$J$3:$J$202,'Install Log'!$G$3:$G$202,$A88,'Install Log'!$R$3:$R$202,"&lt;&gt;"),"—"))</f>
        <v/>
      </c>
      <c r="H88" s="88" t="str">
        <f aca="false">IF(OR($A88="",$B$6=0),"",$E88/$B$6)</f>
        <v/>
      </c>
      <c r="I88" s="88" t="str">
        <f aca="false">IF(OR($A88="",$B$6=0),"",SUMIF($C$30:$C$179,$C88,$E$30:$E$179)/$B$6)</f>
        <v/>
      </c>
      <c r="J88" s="88" t="str">
        <f aca="false">IF(OR($A88="",$B$6=0),"",SUMIF($D$30:$D$179,$D88,$E$30:$E$179)/$B$6)</f>
        <v/>
      </c>
      <c r="K88" s="47" t="str">
        <f aca="false">IF(OR($A88="",N($E88)=0),"",IF($B$6&lt;'Start Here'!$B$10,"too few plants",IF(AND($H88&lt;=0.1,$I88&lt;=0.2,$J88&lt;=0.3),"ok",TRIM(IF($H88&gt;0.1,"SPECIES ","")&amp;IF($I88&gt;0.2,"GENUS ","")&amp;IF($J88&gt;0.3,"FAMILY","")))))</f>
        <v/>
      </c>
    </row>
    <row r="89" customFormat="false" ht="15" hidden="false" customHeight="true" outlineLevel="0" collapsed="false">
      <c r="A89" s="43" t="str">
        <f aca="false">IF(Palette!$A61="","",Palette!$A61)</f>
        <v/>
      </c>
      <c r="B89" s="47" t="str">
        <f aca="false">IF($A89="","",Palette!$K61)</f>
        <v/>
      </c>
      <c r="C89" s="47" t="str">
        <f aca="false">IF($A89="","",Palette!$C61)</f>
        <v/>
      </c>
      <c r="D89" s="47" t="str">
        <f aca="false">IF($A89="","",Palette!$D61)</f>
        <v/>
      </c>
      <c r="E89" s="42" t="str">
        <f aca="false">IF($A89="","",SUMIF('Install Log'!$G$3:$G$202,$A89,'Install Log'!$J$3:$J$202))</f>
        <v/>
      </c>
      <c r="F89" s="42" t="str">
        <f aca="false">IF($A89="","",SUMIF('Install Log'!$G$3:$G$202,$A89,'Install Log'!$R$3:$R$202))</f>
        <v/>
      </c>
      <c r="G89" s="85" t="str">
        <f aca="false">IF(OR($A89="",N($E89)=0),"",IFERROR($F89/SUMIFS('Install Log'!$J$3:$J$202,'Install Log'!$G$3:$G$202,$A89,'Install Log'!$R$3:$R$202,"&lt;&gt;"),"—"))</f>
        <v/>
      </c>
      <c r="H89" s="88" t="str">
        <f aca="false">IF(OR($A89="",$B$6=0),"",$E89/$B$6)</f>
        <v/>
      </c>
      <c r="I89" s="88" t="str">
        <f aca="false">IF(OR($A89="",$B$6=0),"",SUMIF($C$30:$C$179,$C89,$E$30:$E$179)/$B$6)</f>
        <v/>
      </c>
      <c r="J89" s="88" t="str">
        <f aca="false">IF(OR($A89="",$B$6=0),"",SUMIF($D$30:$D$179,$D89,$E$30:$E$179)/$B$6)</f>
        <v/>
      </c>
      <c r="K89" s="47" t="str">
        <f aca="false">IF(OR($A89="",N($E89)=0),"",IF($B$6&lt;'Start Here'!$B$10,"too few plants",IF(AND($H89&lt;=0.1,$I89&lt;=0.2,$J89&lt;=0.3),"ok",TRIM(IF($H89&gt;0.1,"SPECIES ","")&amp;IF($I89&gt;0.2,"GENUS ","")&amp;IF($J89&gt;0.3,"FAMILY","")))))</f>
        <v/>
      </c>
    </row>
    <row r="90" customFormat="false" ht="15" hidden="false" customHeight="true" outlineLevel="0" collapsed="false">
      <c r="A90" s="43" t="str">
        <f aca="false">IF(Palette!$A62="","",Palette!$A62)</f>
        <v/>
      </c>
      <c r="B90" s="47" t="str">
        <f aca="false">IF($A90="","",Palette!$K62)</f>
        <v/>
      </c>
      <c r="C90" s="47" t="str">
        <f aca="false">IF($A90="","",Palette!$C62)</f>
        <v/>
      </c>
      <c r="D90" s="47" t="str">
        <f aca="false">IF($A90="","",Palette!$D62)</f>
        <v/>
      </c>
      <c r="E90" s="42" t="str">
        <f aca="false">IF($A90="","",SUMIF('Install Log'!$G$3:$G$202,$A90,'Install Log'!$J$3:$J$202))</f>
        <v/>
      </c>
      <c r="F90" s="42" t="str">
        <f aca="false">IF($A90="","",SUMIF('Install Log'!$G$3:$G$202,$A90,'Install Log'!$R$3:$R$202))</f>
        <v/>
      </c>
      <c r="G90" s="85" t="str">
        <f aca="false">IF(OR($A90="",N($E90)=0),"",IFERROR($F90/SUMIFS('Install Log'!$J$3:$J$202,'Install Log'!$G$3:$G$202,$A90,'Install Log'!$R$3:$R$202,"&lt;&gt;"),"—"))</f>
        <v/>
      </c>
      <c r="H90" s="88" t="str">
        <f aca="false">IF(OR($A90="",$B$6=0),"",$E90/$B$6)</f>
        <v/>
      </c>
      <c r="I90" s="88" t="str">
        <f aca="false">IF(OR($A90="",$B$6=0),"",SUMIF($C$30:$C$179,$C90,$E$30:$E$179)/$B$6)</f>
        <v/>
      </c>
      <c r="J90" s="88" t="str">
        <f aca="false">IF(OR($A90="",$B$6=0),"",SUMIF($D$30:$D$179,$D90,$E$30:$E$179)/$B$6)</f>
        <v/>
      </c>
      <c r="K90" s="47" t="str">
        <f aca="false">IF(OR($A90="",N($E90)=0),"",IF($B$6&lt;'Start Here'!$B$10,"too few plants",IF(AND($H90&lt;=0.1,$I90&lt;=0.2,$J90&lt;=0.3),"ok",TRIM(IF($H90&gt;0.1,"SPECIES ","")&amp;IF($I90&gt;0.2,"GENUS ","")&amp;IF($J90&gt;0.3,"FAMILY","")))))</f>
        <v/>
      </c>
    </row>
    <row r="91" customFormat="false" ht="15" hidden="false" customHeight="true" outlineLevel="0" collapsed="false">
      <c r="A91" s="43" t="str">
        <f aca="false">IF(Palette!$A63="","",Palette!$A63)</f>
        <v/>
      </c>
      <c r="B91" s="47" t="str">
        <f aca="false">IF($A91="","",Palette!$K63)</f>
        <v/>
      </c>
      <c r="C91" s="47" t="str">
        <f aca="false">IF($A91="","",Palette!$C63)</f>
        <v/>
      </c>
      <c r="D91" s="47" t="str">
        <f aca="false">IF($A91="","",Palette!$D63)</f>
        <v/>
      </c>
      <c r="E91" s="42" t="str">
        <f aca="false">IF($A91="","",SUMIF('Install Log'!$G$3:$G$202,$A91,'Install Log'!$J$3:$J$202))</f>
        <v/>
      </c>
      <c r="F91" s="42" t="str">
        <f aca="false">IF($A91="","",SUMIF('Install Log'!$G$3:$G$202,$A91,'Install Log'!$R$3:$R$202))</f>
        <v/>
      </c>
      <c r="G91" s="85" t="str">
        <f aca="false">IF(OR($A91="",N($E91)=0),"",IFERROR($F91/SUMIFS('Install Log'!$J$3:$J$202,'Install Log'!$G$3:$G$202,$A91,'Install Log'!$R$3:$R$202,"&lt;&gt;"),"—"))</f>
        <v/>
      </c>
      <c r="H91" s="88" t="str">
        <f aca="false">IF(OR($A91="",$B$6=0),"",$E91/$B$6)</f>
        <v/>
      </c>
      <c r="I91" s="88" t="str">
        <f aca="false">IF(OR($A91="",$B$6=0),"",SUMIF($C$30:$C$179,$C91,$E$30:$E$179)/$B$6)</f>
        <v/>
      </c>
      <c r="J91" s="88" t="str">
        <f aca="false">IF(OR($A91="",$B$6=0),"",SUMIF($D$30:$D$179,$D91,$E$30:$E$179)/$B$6)</f>
        <v/>
      </c>
      <c r="K91" s="47" t="str">
        <f aca="false">IF(OR($A91="",N($E91)=0),"",IF($B$6&lt;'Start Here'!$B$10,"too few plants",IF(AND($H91&lt;=0.1,$I91&lt;=0.2,$J91&lt;=0.3),"ok",TRIM(IF($H91&gt;0.1,"SPECIES ","")&amp;IF($I91&gt;0.2,"GENUS ","")&amp;IF($J91&gt;0.3,"FAMILY","")))))</f>
        <v/>
      </c>
    </row>
    <row r="92" customFormat="false" ht="15" hidden="false" customHeight="true" outlineLevel="0" collapsed="false">
      <c r="A92" s="43" t="str">
        <f aca="false">IF(Palette!$A64="","",Palette!$A64)</f>
        <v/>
      </c>
      <c r="B92" s="47" t="str">
        <f aca="false">IF($A92="","",Palette!$K64)</f>
        <v/>
      </c>
      <c r="C92" s="47" t="str">
        <f aca="false">IF($A92="","",Palette!$C64)</f>
        <v/>
      </c>
      <c r="D92" s="47" t="str">
        <f aca="false">IF($A92="","",Palette!$D64)</f>
        <v/>
      </c>
      <c r="E92" s="42" t="str">
        <f aca="false">IF($A92="","",SUMIF('Install Log'!$G$3:$G$202,$A92,'Install Log'!$J$3:$J$202))</f>
        <v/>
      </c>
      <c r="F92" s="42" t="str">
        <f aca="false">IF($A92="","",SUMIF('Install Log'!$G$3:$G$202,$A92,'Install Log'!$R$3:$R$202))</f>
        <v/>
      </c>
      <c r="G92" s="85" t="str">
        <f aca="false">IF(OR($A92="",N($E92)=0),"",IFERROR($F92/SUMIFS('Install Log'!$J$3:$J$202,'Install Log'!$G$3:$G$202,$A92,'Install Log'!$R$3:$R$202,"&lt;&gt;"),"—"))</f>
        <v/>
      </c>
      <c r="H92" s="88" t="str">
        <f aca="false">IF(OR($A92="",$B$6=0),"",$E92/$B$6)</f>
        <v/>
      </c>
      <c r="I92" s="88" t="str">
        <f aca="false">IF(OR($A92="",$B$6=0),"",SUMIF($C$30:$C$179,$C92,$E$30:$E$179)/$B$6)</f>
        <v/>
      </c>
      <c r="J92" s="88" t="str">
        <f aca="false">IF(OR($A92="",$B$6=0),"",SUMIF($D$30:$D$179,$D92,$E$30:$E$179)/$B$6)</f>
        <v/>
      </c>
      <c r="K92" s="47" t="str">
        <f aca="false">IF(OR($A92="",N($E92)=0),"",IF($B$6&lt;'Start Here'!$B$10,"too few plants",IF(AND($H92&lt;=0.1,$I92&lt;=0.2,$J92&lt;=0.3),"ok",TRIM(IF($H92&gt;0.1,"SPECIES ","")&amp;IF($I92&gt;0.2,"GENUS ","")&amp;IF($J92&gt;0.3,"FAMILY","")))))</f>
        <v/>
      </c>
    </row>
    <row r="93" customFormat="false" ht="15" hidden="false" customHeight="true" outlineLevel="0" collapsed="false">
      <c r="A93" s="43" t="str">
        <f aca="false">IF(Palette!$A65="","",Palette!$A65)</f>
        <v/>
      </c>
      <c r="B93" s="47" t="str">
        <f aca="false">IF($A93="","",Palette!$K65)</f>
        <v/>
      </c>
      <c r="C93" s="47" t="str">
        <f aca="false">IF($A93="","",Palette!$C65)</f>
        <v/>
      </c>
      <c r="D93" s="47" t="str">
        <f aca="false">IF($A93="","",Palette!$D65)</f>
        <v/>
      </c>
      <c r="E93" s="42" t="str">
        <f aca="false">IF($A93="","",SUMIF('Install Log'!$G$3:$G$202,$A93,'Install Log'!$J$3:$J$202))</f>
        <v/>
      </c>
      <c r="F93" s="42" t="str">
        <f aca="false">IF($A93="","",SUMIF('Install Log'!$G$3:$G$202,$A93,'Install Log'!$R$3:$R$202))</f>
        <v/>
      </c>
      <c r="G93" s="85" t="str">
        <f aca="false">IF(OR($A93="",N($E93)=0),"",IFERROR($F93/SUMIFS('Install Log'!$J$3:$J$202,'Install Log'!$G$3:$G$202,$A93,'Install Log'!$R$3:$R$202,"&lt;&gt;"),"—"))</f>
        <v/>
      </c>
      <c r="H93" s="88" t="str">
        <f aca="false">IF(OR($A93="",$B$6=0),"",$E93/$B$6)</f>
        <v/>
      </c>
      <c r="I93" s="88" t="str">
        <f aca="false">IF(OR($A93="",$B$6=0),"",SUMIF($C$30:$C$179,$C93,$E$30:$E$179)/$B$6)</f>
        <v/>
      </c>
      <c r="J93" s="88" t="str">
        <f aca="false">IF(OR($A93="",$B$6=0),"",SUMIF($D$30:$D$179,$D93,$E$30:$E$179)/$B$6)</f>
        <v/>
      </c>
      <c r="K93" s="47" t="str">
        <f aca="false">IF(OR($A93="",N($E93)=0),"",IF($B$6&lt;'Start Here'!$B$10,"too few plants",IF(AND($H93&lt;=0.1,$I93&lt;=0.2,$J93&lt;=0.3),"ok",TRIM(IF($H93&gt;0.1,"SPECIES ","")&amp;IF($I93&gt;0.2,"GENUS ","")&amp;IF($J93&gt;0.3,"FAMILY","")))))</f>
        <v/>
      </c>
    </row>
    <row r="94" customFormat="false" ht="15" hidden="false" customHeight="true" outlineLevel="0" collapsed="false">
      <c r="A94" s="43" t="str">
        <f aca="false">IF(Palette!$A66="","",Palette!$A66)</f>
        <v/>
      </c>
      <c r="B94" s="47" t="str">
        <f aca="false">IF($A94="","",Palette!$K66)</f>
        <v/>
      </c>
      <c r="C94" s="47" t="str">
        <f aca="false">IF($A94="","",Palette!$C66)</f>
        <v/>
      </c>
      <c r="D94" s="47" t="str">
        <f aca="false">IF($A94="","",Palette!$D66)</f>
        <v/>
      </c>
      <c r="E94" s="42" t="str">
        <f aca="false">IF($A94="","",SUMIF('Install Log'!$G$3:$G$202,$A94,'Install Log'!$J$3:$J$202))</f>
        <v/>
      </c>
      <c r="F94" s="42" t="str">
        <f aca="false">IF($A94="","",SUMIF('Install Log'!$G$3:$G$202,$A94,'Install Log'!$R$3:$R$202))</f>
        <v/>
      </c>
      <c r="G94" s="85" t="str">
        <f aca="false">IF(OR($A94="",N($E94)=0),"",IFERROR($F94/SUMIFS('Install Log'!$J$3:$J$202,'Install Log'!$G$3:$G$202,$A94,'Install Log'!$R$3:$R$202,"&lt;&gt;"),"—"))</f>
        <v/>
      </c>
      <c r="H94" s="88" t="str">
        <f aca="false">IF(OR($A94="",$B$6=0),"",$E94/$B$6)</f>
        <v/>
      </c>
      <c r="I94" s="88" t="str">
        <f aca="false">IF(OR($A94="",$B$6=0),"",SUMIF($C$30:$C$179,$C94,$E$30:$E$179)/$B$6)</f>
        <v/>
      </c>
      <c r="J94" s="88" t="str">
        <f aca="false">IF(OR($A94="",$B$6=0),"",SUMIF($D$30:$D$179,$D94,$E$30:$E$179)/$B$6)</f>
        <v/>
      </c>
      <c r="K94" s="47" t="str">
        <f aca="false">IF(OR($A94="",N($E94)=0),"",IF($B$6&lt;'Start Here'!$B$10,"too few plants",IF(AND($H94&lt;=0.1,$I94&lt;=0.2,$J94&lt;=0.3),"ok",TRIM(IF($H94&gt;0.1,"SPECIES ","")&amp;IF($I94&gt;0.2,"GENUS ","")&amp;IF($J94&gt;0.3,"FAMILY","")))))</f>
        <v/>
      </c>
    </row>
    <row r="95" customFormat="false" ht="15" hidden="false" customHeight="true" outlineLevel="0" collapsed="false">
      <c r="A95" s="43" t="str">
        <f aca="false">IF(Palette!$A67="","",Palette!$A67)</f>
        <v/>
      </c>
      <c r="B95" s="47" t="str">
        <f aca="false">IF($A95="","",Palette!$K67)</f>
        <v/>
      </c>
      <c r="C95" s="47" t="str">
        <f aca="false">IF($A95="","",Palette!$C67)</f>
        <v/>
      </c>
      <c r="D95" s="47" t="str">
        <f aca="false">IF($A95="","",Palette!$D67)</f>
        <v/>
      </c>
      <c r="E95" s="42" t="str">
        <f aca="false">IF($A95="","",SUMIF('Install Log'!$G$3:$G$202,$A95,'Install Log'!$J$3:$J$202))</f>
        <v/>
      </c>
      <c r="F95" s="42" t="str">
        <f aca="false">IF($A95="","",SUMIF('Install Log'!$G$3:$G$202,$A95,'Install Log'!$R$3:$R$202))</f>
        <v/>
      </c>
      <c r="G95" s="85" t="str">
        <f aca="false">IF(OR($A95="",N($E95)=0),"",IFERROR($F95/SUMIFS('Install Log'!$J$3:$J$202,'Install Log'!$G$3:$G$202,$A95,'Install Log'!$R$3:$R$202,"&lt;&gt;"),"—"))</f>
        <v/>
      </c>
      <c r="H95" s="88" t="str">
        <f aca="false">IF(OR($A95="",$B$6=0),"",$E95/$B$6)</f>
        <v/>
      </c>
      <c r="I95" s="88" t="str">
        <f aca="false">IF(OR($A95="",$B$6=0),"",SUMIF($C$30:$C$179,$C95,$E$30:$E$179)/$B$6)</f>
        <v/>
      </c>
      <c r="J95" s="88" t="str">
        <f aca="false">IF(OR($A95="",$B$6=0),"",SUMIF($D$30:$D$179,$D95,$E$30:$E$179)/$B$6)</f>
        <v/>
      </c>
      <c r="K95" s="47" t="str">
        <f aca="false">IF(OR($A95="",N($E95)=0),"",IF($B$6&lt;'Start Here'!$B$10,"too few plants",IF(AND($H95&lt;=0.1,$I95&lt;=0.2,$J95&lt;=0.3),"ok",TRIM(IF($H95&gt;0.1,"SPECIES ","")&amp;IF($I95&gt;0.2,"GENUS ","")&amp;IF($J95&gt;0.3,"FAMILY","")))))</f>
        <v/>
      </c>
    </row>
    <row r="96" customFormat="false" ht="15" hidden="false" customHeight="true" outlineLevel="0" collapsed="false">
      <c r="A96" s="43" t="str">
        <f aca="false">IF(Palette!$A68="","",Palette!$A68)</f>
        <v/>
      </c>
      <c r="B96" s="47" t="str">
        <f aca="false">IF($A96="","",Palette!$K68)</f>
        <v/>
      </c>
      <c r="C96" s="47" t="str">
        <f aca="false">IF($A96="","",Palette!$C68)</f>
        <v/>
      </c>
      <c r="D96" s="47" t="str">
        <f aca="false">IF($A96="","",Palette!$D68)</f>
        <v/>
      </c>
      <c r="E96" s="42" t="str">
        <f aca="false">IF($A96="","",SUMIF('Install Log'!$G$3:$G$202,$A96,'Install Log'!$J$3:$J$202))</f>
        <v/>
      </c>
      <c r="F96" s="42" t="str">
        <f aca="false">IF($A96="","",SUMIF('Install Log'!$G$3:$G$202,$A96,'Install Log'!$R$3:$R$202))</f>
        <v/>
      </c>
      <c r="G96" s="85" t="str">
        <f aca="false">IF(OR($A96="",N($E96)=0),"",IFERROR($F96/SUMIFS('Install Log'!$J$3:$J$202,'Install Log'!$G$3:$G$202,$A96,'Install Log'!$R$3:$R$202,"&lt;&gt;"),"—"))</f>
        <v/>
      </c>
      <c r="H96" s="88" t="str">
        <f aca="false">IF(OR($A96="",$B$6=0),"",$E96/$B$6)</f>
        <v/>
      </c>
      <c r="I96" s="88" t="str">
        <f aca="false">IF(OR($A96="",$B$6=0),"",SUMIF($C$30:$C$179,$C96,$E$30:$E$179)/$B$6)</f>
        <v/>
      </c>
      <c r="J96" s="88" t="str">
        <f aca="false">IF(OR($A96="",$B$6=0),"",SUMIF($D$30:$D$179,$D96,$E$30:$E$179)/$B$6)</f>
        <v/>
      </c>
      <c r="K96" s="47" t="str">
        <f aca="false">IF(OR($A96="",N($E96)=0),"",IF($B$6&lt;'Start Here'!$B$10,"too few plants",IF(AND($H96&lt;=0.1,$I96&lt;=0.2,$J96&lt;=0.3),"ok",TRIM(IF($H96&gt;0.1,"SPECIES ","")&amp;IF($I96&gt;0.2,"GENUS ","")&amp;IF($J96&gt;0.3,"FAMILY","")))))</f>
        <v/>
      </c>
    </row>
    <row r="97" customFormat="false" ht="15" hidden="false" customHeight="true" outlineLevel="0" collapsed="false">
      <c r="A97" s="43" t="str">
        <f aca="false">IF(Palette!$A69="","",Palette!$A69)</f>
        <v/>
      </c>
      <c r="B97" s="47" t="str">
        <f aca="false">IF($A97="","",Palette!$K69)</f>
        <v/>
      </c>
      <c r="C97" s="47" t="str">
        <f aca="false">IF($A97="","",Palette!$C69)</f>
        <v/>
      </c>
      <c r="D97" s="47" t="str">
        <f aca="false">IF($A97="","",Palette!$D69)</f>
        <v/>
      </c>
      <c r="E97" s="42" t="str">
        <f aca="false">IF($A97="","",SUMIF('Install Log'!$G$3:$G$202,$A97,'Install Log'!$J$3:$J$202))</f>
        <v/>
      </c>
      <c r="F97" s="42" t="str">
        <f aca="false">IF($A97="","",SUMIF('Install Log'!$G$3:$G$202,$A97,'Install Log'!$R$3:$R$202))</f>
        <v/>
      </c>
      <c r="G97" s="85" t="str">
        <f aca="false">IF(OR($A97="",N($E97)=0),"",IFERROR($F97/SUMIFS('Install Log'!$J$3:$J$202,'Install Log'!$G$3:$G$202,$A97,'Install Log'!$R$3:$R$202,"&lt;&gt;"),"—"))</f>
        <v/>
      </c>
      <c r="H97" s="88" t="str">
        <f aca="false">IF(OR($A97="",$B$6=0),"",$E97/$B$6)</f>
        <v/>
      </c>
      <c r="I97" s="88" t="str">
        <f aca="false">IF(OR($A97="",$B$6=0),"",SUMIF($C$30:$C$179,$C97,$E$30:$E$179)/$B$6)</f>
        <v/>
      </c>
      <c r="J97" s="88" t="str">
        <f aca="false">IF(OR($A97="",$B$6=0),"",SUMIF($D$30:$D$179,$D97,$E$30:$E$179)/$B$6)</f>
        <v/>
      </c>
      <c r="K97" s="47" t="str">
        <f aca="false">IF(OR($A97="",N($E97)=0),"",IF($B$6&lt;'Start Here'!$B$10,"too few plants",IF(AND($H97&lt;=0.1,$I97&lt;=0.2,$J97&lt;=0.3),"ok",TRIM(IF($H97&gt;0.1,"SPECIES ","")&amp;IF($I97&gt;0.2,"GENUS ","")&amp;IF($J97&gt;0.3,"FAMILY","")))))</f>
        <v/>
      </c>
    </row>
    <row r="98" customFormat="false" ht="15" hidden="false" customHeight="true" outlineLevel="0" collapsed="false">
      <c r="A98" s="43" t="str">
        <f aca="false">IF(Palette!$A70="","",Palette!$A70)</f>
        <v/>
      </c>
      <c r="B98" s="47" t="str">
        <f aca="false">IF($A98="","",Palette!$K70)</f>
        <v/>
      </c>
      <c r="C98" s="47" t="str">
        <f aca="false">IF($A98="","",Palette!$C70)</f>
        <v/>
      </c>
      <c r="D98" s="47" t="str">
        <f aca="false">IF($A98="","",Palette!$D70)</f>
        <v/>
      </c>
      <c r="E98" s="42" t="str">
        <f aca="false">IF($A98="","",SUMIF('Install Log'!$G$3:$G$202,$A98,'Install Log'!$J$3:$J$202))</f>
        <v/>
      </c>
      <c r="F98" s="42" t="str">
        <f aca="false">IF($A98="","",SUMIF('Install Log'!$G$3:$G$202,$A98,'Install Log'!$R$3:$R$202))</f>
        <v/>
      </c>
      <c r="G98" s="85" t="str">
        <f aca="false">IF(OR($A98="",N($E98)=0),"",IFERROR($F98/SUMIFS('Install Log'!$J$3:$J$202,'Install Log'!$G$3:$G$202,$A98,'Install Log'!$R$3:$R$202,"&lt;&gt;"),"—"))</f>
        <v/>
      </c>
      <c r="H98" s="88" t="str">
        <f aca="false">IF(OR($A98="",$B$6=0),"",$E98/$B$6)</f>
        <v/>
      </c>
      <c r="I98" s="88" t="str">
        <f aca="false">IF(OR($A98="",$B$6=0),"",SUMIF($C$30:$C$179,$C98,$E$30:$E$179)/$B$6)</f>
        <v/>
      </c>
      <c r="J98" s="88" t="str">
        <f aca="false">IF(OR($A98="",$B$6=0),"",SUMIF($D$30:$D$179,$D98,$E$30:$E$179)/$B$6)</f>
        <v/>
      </c>
      <c r="K98" s="47" t="str">
        <f aca="false">IF(OR($A98="",N($E98)=0),"",IF($B$6&lt;'Start Here'!$B$10,"too few plants",IF(AND($H98&lt;=0.1,$I98&lt;=0.2,$J98&lt;=0.3),"ok",TRIM(IF($H98&gt;0.1,"SPECIES ","")&amp;IF($I98&gt;0.2,"GENUS ","")&amp;IF($J98&gt;0.3,"FAMILY","")))))</f>
        <v/>
      </c>
    </row>
    <row r="99" customFormat="false" ht="15" hidden="false" customHeight="true" outlineLevel="0" collapsed="false">
      <c r="A99" s="43" t="str">
        <f aca="false">IF(Palette!$A71="","",Palette!$A71)</f>
        <v/>
      </c>
      <c r="B99" s="47" t="str">
        <f aca="false">IF($A99="","",Palette!$K71)</f>
        <v/>
      </c>
      <c r="C99" s="47" t="str">
        <f aca="false">IF($A99="","",Palette!$C71)</f>
        <v/>
      </c>
      <c r="D99" s="47" t="str">
        <f aca="false">IF($A99="","",Palette!$D71)</f>
        <v/>
      </c>
      <c r="E99" s="42" t="str">
        <f aca="false">IF($A99="","",SUMIF('Install Log'!$G$3:$G$202,$A99,'Install Log'!$J$3:$J$202))</f>
        <v/>
      </c>
      <c r="F99" s="42" t="str">
        <f aca="false">IF($A99="","",SUMIF('Install Log'!$G$3:$G$202,$A99,'Install Log'!$R$3:$R$202))</f>
        <v/>
      </c>
      <c r="G99" s="85" t="str">
        <f aca="false">IF(OR($A99="",N($E99)=0),"",IFERROR($F99/SUMIFS('Install Log'!$J$3:$J$202,'Install Log'!$G$3:$G$202,$A99,'Install Log'!$R$3:$R$202,"&lt;&gt;"),"—"))</f>
        <v/>
      </c>
      <c r="H99" s="88" t="str">
        <f aca="false">IF(OR($A99="",$B$6=0),"",$E99/$B$6)</f>
        <v/>
      </c>
      <c r="I99" s="88" t="str">
        <f aca="false">IF(OR($A99="",$B$6=0),"",SUMIF($C$30:$C$179,$C99,$E$30:$E$179)/$B$6)</f>
        <v/>
      </c>
      <c r="J99" s="88" t="str">
        <f aca="false">IF(OR($A99="",$B$6=0),"",SUMIF($D$30:$D$179,$D99,$E$30:$E$179)/$B$6)</f>
        <v/>
      </c>
      <c r="K99" s="47" t="str">
        <f aca="false">IF(OR($A99="",N($E99)=0),"",IF($B$6&lt;'Start Here'!$B$10,"too few plants",IF(AND($H99&lt;=0.1,$I99&lt;=0.2,$J99&lt;=0.3),"ok",TRIM(IF($H99&gt;0.1,"SPECIES ","")&amp;IF($I99&gt;0.2,"GENUS ","")&amp;IF($J99&gt;0.3,"FAMILY","")))))</f>
        <v/>
      </c>
    </row>
    <row r="100" customFormat="false" ht="15" hidden="false" customHeight="true" outlineLevel="0" collapsed="false">
      <c r="A100" s="43" t="str">
        <f aca="false">IF(Palette!$A72="","",Palette!$A72)</f>
        <v/>
      </c>
      <c r="B100" s="47" t="str">
        <f aca="false">IF($A100="","",Palette!$K72)</f>
        <v/>
      </c>
      <c r="C100" s="47" t="str">
        <f aca="false">IF($A100="","",Palette!$C72)</f>
        <v/>
      </c>
      <c r="D100" s="47" t="str">
        <f aca="false">IF($A100="","",Palette!$D72)</f>
        <v/>
      </c>
      <c r="E100" s="42" t="str">
        <f aca="false">IF($A100="","",SUMIF('Install Log'!$G$3:$G$202,$A100,'Install Log'!$J$3:$J$202))</f>
        <v/>
      </c>
      <c r="F100" s="42" t="str">
        <f aca="false">IF($A100="","",SUMIF('Install Log'!$G$3:$G$202,$A100,'Install Log'!$R$3:$R$202))</f>
        <v/>
      </c>
      <c r="G100" s="85" t="str">
        <f aca="false">IF(OR($A100="",N($E100)=0),"",IFERROR($F100/SUMIFS('Install Log'!$J$3:$J$202,'Install Log'!$G$3:$G$202,$A100,'Install Log'!$R$3:$R$202,"&lt;&gt;"),"—"))</f>
        <v/>
      </c>
      <c r="H100" s="88" t="str">
        <f aca="false">IF(OR($A100="",$B$6=0),"",$E100/$B$6)</f>
        <v/>
      </c>
      <c r="I100" s="88" t="str">
        <f aca="false">IF(OR($A100="",$B$6=0),"",SUMIF($C$30:$C$179,$C100,$E$30:$E$179)/$B$6)</f>
        <v/>
      </c>
      <c r="J100" s="88" t="str">
        <f aca="false">IF(OR($A100="",$B$6=0),"",SUMIF($D$30:$D$179,$D100,$E$30:$E$179)/$B$6)</f>
        <v/>
      </c>
      <c r="K100" s="47" t="str">
        <f aca="false">IF(OR($A100="",N($E100)=0),"",IF($B$6&lt;'Start Here'!$B$10,"too few plants",IF(AND($H100&lt;=0.1,$I100&lt;=0.2,$J100&lt;=0.3),"ok",TRIM(IF($H100&gt;0.1,"SPECIES ","")&amp;IF($I100&gt;0.2,"GENUS ","")&amp;IF($J100&gt;0.3,"FAMILY","")))))</f>
        <v/>
      </c>
    </row>
    <row r="101" customFormat="false" ht="15" hidden="false" customHeight="true" outlineLevel="0" collapsed="false">
      <c r="A101" s="43" t="str">
        <f aca="false">IF(Palette!$A73="","",Palette!$A73)</f>
        <v/>
      </c>
      <c r="B101" s="47" t="str">
        <f aca="false">IF($A101="","",Palette!$K73)</f>
        <v/>
      </c>
      <c r="C101" s="47" t="str">
        <f aca="false">IF($A101="","",Palette!$C73)</f>
        <v/>
      </c>
      <c r="D101" s="47" t="str">
        <f aca="false">IF($A101="","",Palette!$D73)</f>
        <v/>
      </c>
      <c r="E101" s="42" t="str">
        <f aca="false">IF($A101="","",SUMIF('Install Log'!$G$3:$G$202,$A101,'Install Log'!$J$3:$J$202))</f>
        <v/>
      </c>
      <c r="F101" s="42" t="str">
        <f aca="false">IF($A101="","",SUMIF('Install Log'!$G$3:$G$202,$A101,'Install Log'!$R$3:$R$202))</f>
        <v/>
      </c>
      <c r="G101" s="85" t="str">
        <f aca="false">IF(OR($A101="",N($E101)=0),"",IFERROR($F101/SUMIFS('Install Log'!$J$3:$J$202,'Install Log'!$G$3:$G$202,$A101,'Install Log'!$R$3:$R$202,"&lt;&gt;"),"—"))</f>
        <v/>
      </c>
      <c r="H101" s="88" t="str">
        <f aca="false">IF(OR($A101="",$B$6=0),"",$E101/$B$6)</f>
        <v/>
      </c>
      <c r="I101" s="88" t="str">
        <f aca="false">IF(OR($A101="",$B$6=0),"",SUMIF($C$30:$C$179,$C101,$E$30:$E$179)/$B$6)</f>
        <v/>
      </c>
      <c r="J101" s="88" t="str">
        <f aca="false">IF(OR($A101="",$B$6=0),"",SUMIF($D$30:$D$179,$D101,$E$30:$E$179)/$B$6)</f>
        <v/>
      </c>
      <c r="K101" s="47" t="str">
        <f aca="false">IF(OR($A101="",N($E101)=0),"",IF($B$6&lt;'Start Here'!$B$10,"too few plants",IF(AND($H101&lt;=0.1,$I101&lt;=0.2,$J101&lt;=0.3),"ok",TRIM(IF($H101&gt;0.1,"SPECIES ","")&amp;IF($I101&gt;0.2,"GENUS ","")&amp;IF($J101&gt;0.3,"FAMILY","")))))</f>
        <v/>
      </c>
    </row>
    <row r="102" customFormat="false" ht="15" hidden="false" customHeight="true" outlineLevel="0" collapsed="false">
      <c r="A102" s="43" t="str">
        <f aca="false">IF(Palette!$A74="","",Palette!$A74)</f>
        <v/>
      </c>
      <c r="B102" s="47" t="str">
        <f aca="false">IF($A102="","",Palette!$K74)</f>
        <v/>
      </c>
      <c r="C102" s="47" t="str">
        <f aca="false">IF($A102="","",Palette!$C74)</f>
        <v/>
      </c>
      <c r="D102" s="47" t="str">
        <f aca="false">IF($A102="","",Palette!$D74)</f>
        <v/>
      </c>
      <c r="E102" s="42" t="str">
        <f aca="false">IF($A102="","",SUMIF('Install Log'!$G$3:$G$202,$A102,'Install Log'!$J$3:$J$202))</f>
        <v/>
      </c>
      <c r="F102" s="42" t="str">
        <f aca="false">IF($A102="","",SUMIF('Install Log'!$G$3:$G$202,$A102,'Install Log'!$R$3:$R$202))</f>
        <v/>
      </c>
      <c r="G102" s="85" t="str">
        <f aca="false">IF(OR($A102="",N($E102)=0),"",IFERROR($F102/SUMIFS('Install Log'!$J$3:$J$202,'Install Log'!$G$3:$G$202,$A102,'Install Log'!$R$3:$R$202,"&lt;&gt;"),"—"))</f>
        <v/>
      </c>
      <c r="H102" s="88" t="str">
        <f aca="false">IF(OR($A102="",$B$6=0),"",$E102/$B$6)</f>
        <v/>
      </c>
      <c r="I102" s="88" t="str">
        <f aca="false">IF(OR($A102="",$B$6=0),"",SUMIF($C$30:$C$179,$C102,$E$30:$E$179)/$B$6)</f>
        <v/>
      </c>
      <c r="J102" s="88" t="str">
        <f aca="false">IF(OR($A102="",$B$6=0),"",SUMIF($D$30:$D$179,$D102,$E$30:$E$179)/$B$6)</f>
        <v/>
      </c>
      <c r="K102" s="47" t="str">
        <f aca="false">IF(OR($A102="",N($E102)=0),"",IF($B$6&lt;'Start Here'!$B$10,"too few plants",IF(AND($H102&lt;=0.1,$I102&lt;=0.2,$J102&lt;=0.3),"ok",TRIM(IF($H102&gt;0.1,"SPECIES ","")&amp;IF($I102&gt;0.2,"GENUS ","")&amp;IF($J102&gt;0.3,"FAMILY","")))))</f>
        <v/>
      </c>
    </row>
    <row r="103" customFormat="false" ht="15" hidden="false" customHeight="true" outlineLevel="0" collapsed="false">
      <c r="A103" s="43" t="str">
        <f aca="false">IF(Palette!$A75="","",Palette!$A75)</f>
        <v/>
      </c>
      <c r="B103" s="47" t="str">
        <f aca="false">IF($A103="","",Palette!$K75)</f>
        <v/>
      </c>
      <c r="C103" s="47" t="str">
        <f aca="false">IF($A103="","",Palette!$C75)</f>
        <v/>
      </c>
      <c r="D103" s="47" t="str">
        <f aca="false">IF($A103="","",Palette!$D75)</f>
        <v/>
      </c>
      <c r="E103" s="42" t="str">
        <f aca="false">IF($A103="","",SUMIF('Install Log'!$G$3:$G$202,$A103,'Install Log'!$J$3:$J$202))</f>
        <v/>
      </c>
      <c r="F103" s="42" t="str">
        <f aca="false">IF($A103="","",SUMIF('Install Log'!$G$3:$G$202,$A103,'Install Log'!$R$3:$R$202))</f>
        <v/>
      </c>
      <c r="G103" s="85" t="str">
        <f aca="false">IF(OR($A103="",N($E103)=0),"",IFERROR($F103/SUMIFS('Install Log'!$J$3:$J$202,'Install Log'!$G$3:$G$202,$A103,'Install Log'!$R$3:$R$202,"&lt;&gt;"),"—"))</f>
        <v/>
      </c>
      <c r="H103" s="88" t="str">
        <f aca="false">IF(OR($A103="",$B$6=0),"",$E103/$B$6)</f>
        <v/>
      </c>
      <c r="I103" s="88" t="str">
        <f aca="false">IF(OR($A103="",$B$6=0),"",SUMIF($C$30:$C$179,$C103,$E$30:$E$179)/$B$6)</f>
        <v/>
      </c>
      <c r="J103" s="88" t="str">
        <f aca="false">IF(OR($A103="",$B$6=0),"",SUMIF($D$30:$D$179,$D103,$E$30:$E$179)/$B$6)</f>
        <v/>
      </c>
      <c r="K103" s="47" t="str">
        <f aca="false">IF(OR($A103="",N($E103)=0),"",IF($B$6&lt;'Start Here'!$B$10,"too few plants",IF(AND($H103&lt;=0.1,$I103&lt;=0.2,$J103&lt;=0.3),"ok",TRIM(IF($H103&gt;0.1,"SPECIES ","")&amp;IF($I103&gt;0.2,"GENUS ","")&amp;IF($J103&gt;0.3,"FAMILY","")))))</f>
        <v/>
      </c>
    </row>
    <row r="104" customFormat="false" ht="15" hidden="false" customHeight="true" outlineLevel="0" collapsed="false">
      <c r="A104" s="43" t="str">
        <f aca="false">IF(Palette!$A76="","",Palette!$A76)</f>
        <v/>
      </c>
      <c r="B104" s="47" t="str">
        <f aca="false">IF($A104="","",Palette!$K76)</f>
        <v/>
      </c>
      <c r="C104" s="47" t="str">
        <f aca="false">IF($A104="","",Palette!$C76)</f>
        <v/>
      </c>
      <c r="D104" s="47" t="str">
        <f aca="false">IF($A104="","",Palette!$D76)</f>
        <v/>
      </c>
      <c r="E104" s="42" t="str">
        <f aca="false">IF($A104="","",SUMIF('Install Log'!$G$3:$G$202,$A104,'Install Log'!$J$3:$J$202))</f>
        <v/>
      </c>
      <c r="F104" s="42" t="str">
        <f aca="false">IF($A104="","",SUMIF('Install Log'!$G$3:$G$202,$A104,'Install Log'!$R$3:$R$202))</f>
        <v/>
      </c>
      <c r="G104" s="85" t="str">
        <f aca="false">IF(OR($A104="",N($E104)=0),"",IFERROR($F104/SUMIFS('Install Log'!$J$3:$J$202,'Install Log'!$G$3:$G$202,$A104,'Install Log'!$R$3:$R$202,"&lt;&gt;"),"—"))</f>
        <v/>
      </c>
      <c r="H104" s="88" t="str">
        <f aca="false">IF(OR($A104="",$B$6=0),"",$E104/$B$6)</f>
        <v/>
      </c>
      <c r="I104" s="88" t="str">
        <f aca="false">IF(OR($A104="",$B$6=0),"",SUMIF($C$30:$C$179,$C104,$E$30:$E$179)/$B$6)</f>
        <v/>
      </c>
      <c r="J104" s="88" t="str">
        <f aca="false">IF(OR($A104="",$B$6=0),"",SUMIF($D$30:$D$179,$D104,$E$30:$E$179)/$B$6)</f>
        <v/>
      </c>
      <c r="K104" s="47" t="str">
        <f aca="false">IF(OR($A104="",N($E104)=0),"",IF($B$6&lt;'Start Here'!$B$10,"too few plants",IF(AND($H104&lt;=0.1,$I104&lt;=0.2,$J104&lt;=0.3),"ok",TRIM(IF($H104&gt;0.1,"SPECIES ","")&amp;IF($I104&gt;0.2,"GENUS ","")&amp;IF($J104&gt;0.3,"FAMILY","")))))</f>
        <v/>
      </c>
    </row>
    <row r="105" customFormat="false" ht="15" hidden="false" customHeight="true" outlineLevel="0" collapsed="false">
      <c r="A105" s="43" t="str">
        <f aca="false">IF(Palette!$A77="","",Palette!$A77)</f>
        <v/>
      </c>
      <c r="B105" s="47" t="str">
        <f aca="false">IF($A105="","",Palette!$K77)</f>
        <v/>
      </c>
      <c r="C105" s="47" t="str">
        <f aca="false">IF($A105="","",Palette!$C77)</f>
        <v/>
      </c>
      <c r="D105" s="47" t="str">
        <f aca="false">IF($A105="","",Palette!$D77)</f>
        <v/>
      </c>
      <c r="E105" s="42" t="str">
        <f aca="false">IF($A105="","",SUMIF('Install Log'!$G$3:$G$202,$A105,'Install Log'!$J$3:$J$202))</f>
        <v/>
      </c>
      <c r="F105" s="42" t="str">
        <f aca="false">IF($A105="","",SUMIF('Install Log'!$G$3:$G$202,$A105,'Install Log'!$R$3:$R$202))</f>
        <v/>
      </c>
      <c r="G105" s="85" t="str">
        <f aca="false">IF(OR($A105="",N($E105)=0),"",IFERROR($F105/SUMIFS('Install Log'!$J$3:$J$202,'Install Log'!$G$3:$G$202,$A105,'Install Log'!$R$3:$R$202,"&lt;&gt;"),"—"))</f>
        <v/>
      </c>
      <c r="H105" s="88" t="str">
        <f aca="false">IF(OR($A105="",$B$6=0),"",$E105/$B$6)</f>
        <v/>
      </c>
      <c r="I105" s="88" t="str">
        <f aca="false">IF(OR($A105="",$B$6=0),"",SUMIF($C$30:$C$179,$C105,$E$30:$E$179)/$B$6)</f>
        <v/>
      </c>
      <c r="J105" s="88" t="str">
        <f aca="false">IF(OR($A105="",$B$6=0),"",SUMIF($D$30:$D$179,$D105,$E$30:$E$179)/$B$6)</f>
        <v/>
      </c>
      <c r="K105" s="47" t="str">
        <f aca="false">IF(OR($A105="",N($E105)=0),"",IF($B$6&lt;'Start Here'!$B$10,"too few plants",IF(AND($H105&lt;=0.1,$I105&lt;=0.2,$J105&lt;=0.3),"ok",TRIM(IF($H105&gt;0.1,"SPECIES ","")&amp;IF($I105&gt;0.2,"GENUS ","")&amp;IF($J105&gt;0.3,"FAMILY","")))))</f>
        <v/>
      </c>
    </row>
    <row r="106" customFormat="false" ht="15" hidden="false" customHeight="true" outlineLevel="0" collapsed="false">
      <c r="A106" s="43" t="str">
        <f aca="false">IF(Palette!$A78="","",Palette!$A78)</f>
        <v/>
      </c>
      <c r="B106" s="47" t="str">
        <f aca="false">IF($A106="","",Palette!$K78)</f>
        <v/>
      </c>
      <c r="C106" s="47" t="str">
        <f aca="false">IF($A106="","",Palette!$C78)</f>
        <v/>
      </c>
      <c r="D106" s="47" t="str">
        <f aca="false">IF($A106="","",Palette!$D78)</f>
        <v/>
      </c>
      <c r="E106" s="42" t="str">
        <f aca="false">IF($A106="","",SUMIF('Install Log'!$G$3:$G$202,$A106,'Install Log'!$J$3:$J$202))</f>
        <v/>
      </c>
      <c r="F106" s="42" t="str">
        <f aca="false">IF($A106="","",SUMIF('Install Log'!$G$3:$G$202,$A106,'Install Log'!$R$3:$R$202))</f>
        <v/>
      </c>
      <c r="G106" s="85" t="str">
        <f aca="false">IF(OR($A106="",N($E106)=0),"",IFERROR($F106/SUMIFS('Install Log'!$J$3:$J$202,'Install Log'!$G$3:$G$202,$A106,'Install Log'!$R$3:$R$202,"&lt;&gt;"),"—"))</f>
        <v/>
      </c>
      <c r="H106" s="88" t="str">
        <f aca="false">IF(OR($A106="",$B$6=0),"",$E106/$B$6)</f>
        <v/>
      </c>
      <c r="I106" s="88" t="str">
        <f aca="false">IF(OR($A106="",$B$6=0),"",SUMIF($C$30:$C$179,$C106,$E$30:$E$179)/$B$6)</f>
        <v/>
      </c>
      <c r="J106" s="88" t="str">
        <f aca="false">IF(OR($A106="",$B$6=0),"",SUMIF($D$30:$D$179,$D106,$E$30:$E$179)/$B$6)</f>
        <v/>
      </c>
      <c r="K106" s="47" t="str">
        <f aca="false">IF(OR($A106="",N($E106)=0),"",IF($B$6&lt;'Start Here'!$B$10,"too few plants",IF(AND($H106&lt;=0.1,$I106&lt;=0.2,$J106&lt;=0.3),"ok",TRIM(IF($H106&gt;0.1,"SPECIES ","")&amp;IF($I106&gt;0.2,"GENUS ","")&amp;IF($J106&gt;0.3,"FAMILY","")))))</f>
        <v/>
      </c>
    </row>
    <row r="107" customFormat="false" ht="15" hidden="false" customHeight="true" outlineLevel="0" collapsed="false">
      <c r="A107" s="43" t="str">
        <f aca="false">IF(Palette!$A79="","",Palette!$A79)</f>
        <v/>
      </c>
      <c r="B107" s="47" t="str">
        <f aca="false">IF($A107="","",Palette!$K79)</f>
        <v/>
      </c>
      <c r="C107" s="47" t="str">
        <f aca="false">IF($A107="","",Palette!$C79)</f>
        <v/>
      </c>
      <c r="D107" s="47" t="str">
        <f aca="false">IF($A107="","",Palette!$D79)</f>
        <v/>
      </c>
      <c r="E107" s="42" t="str">
        <f aca="false">IF($A107="","",SUMIF('Install Log'!$G$3:$G$202,$A107,'Install Log'!$J$3:$J$202))</f>
        <v/>
      </c>
      <c r="F107" s="42" t="str">
        <f aca="false">IF($A107="","",SUMIF('Install Log'!$G$3:$G$202,$A107,'Install Log'!$R$3:$R$202))</f>
        <v/>
      </c>
      <c r="G107" s="85" t="str">
        <f aca="false">IF(OR($A107="",N($E107)=0),"",IFERROR($F107/SUMIFS('Install Log'!$J$3:$J$202,'Install Log'!$G$3:$G$202,$A107,'Install Log'!$R$3:$R$202,"&lt;&gt;"),"—"))</f>
        <v/>
      </c>
      <c r="H107" s="88" t="str">
        <f aca="false">IF(OR($A107="",$B$6=0),"",$E107/$B$6)</f>
        <v/>
      </c>
      <c r="I107" s="88" t="str">
        <f aca="false">IF(OR($A107="",$B$6=0),"",SUMIF($C$30:$C$179,$C107,$E$30:$E$179)/$B$6)</f>
        <v/>
      </c>
      <c r="J107" s="88" t="str">
        <f aca="false">IF(OR($A107="",$B$6=0),"",SUMIF($D$30:$D$179,$D107,$E$30:$E$179)/$B$6)</f>
        <v/>
      </c>
      <c r="K107" s="47" t="str">
        <f aca="false">IF(OR($A107="",N($E107)=0),"",IF($B$6&lt;'Start Here'!$B$10,"too few plants",IF(AND($H107&lt;=0.1,$I107&lt;=0.2,$J107&lt;=0.3),"ok",TRIM(IF($H107&gt;0.1,"SPECIES ","")&amp;IF($I107&gt;0.2,"GENUS ","")&amp;IF($J107&gt;0.3,"FAMILY","")))))</f>
        <v/>
      </c>
    </row>
    <row r="108" customFormat="false" ht="15" hidden="false" customHeight="true" outlineLevel="0" collapsed="false">
      <c r="A108" s="43" t="str">
        <f aca="false">IF(Palette!$A80="","",Palette!$A80)</f>
        <v/>
      </c>
      <c r="B108" s="47" t="str">
        <f aca="false">IF($A108="","",Palette!$K80)</f>
        <v/>
      </c>
      <c r="C108" s="47" t="str">
        <f aca="false">IF($A108="","",Palette!$C80)</f>
        <v/>
      </c>
      <c r="D108" s="47" t="str">
        <f aca="false">IF($A108="","",Palette!$D80)</f>
        <v/>
      </c>
      <c r="E108" s="42" t="str">
        <f aca="false">IF($A108="","",SUMIF('Install Log'!$G$3:$G$202,$A108,'Install Log'!$J$3:$J$202))</f>
        <v/>
      </c>
      <c r="F108" s="42" t="str">
        <f aca="false">IF($A108="","",SUMIF('Install Log'!$G$3:$G$202,$A108,'Install Log'!$R$3:$R$202))</f>
        <v/>
      </c>
      <c r="G108" s="85" t="str">
        <f aca="false">IF(OR($A108="",N($E108)=0),"",IFERROR($F108/SUMIFS('Install Log'!$J$3:$J$202,'Install Log'!$G$3:$G$202,$A108,'Install Log'!$R$3:$R$202,"&lt;&gt;"),"—"))</f>
        <v/>
      </c>
      <c r="H108" s="88" t="str">
        <f aca="false">IF(OR($A108="",$B$6=0),"",$E108/$B$6)</f>
        <v/>
      </c>
      <c r="I108" s="88" t="str">
        <f aca="false">IF(OR($A108="",$B$6=0),"",SUMIF($C$30:$C$179,$C108,$E$30:$E$179)/$B$6)</f>
        <v/>
      </c>
      <c r="J108" s="88" t="str">
        <f aca="false">IF(OR($A108="",$B$6=0),"",SUMIF($D$30:$D$179,$D108,$E$30:$E$179)/$B$6)</f>
        <v/>
      </c>
      <c r="K108" s="47" t="str">
        <f aca="false">IF(OR($A108="",N($E108)=0),"",IF($B$6&lt;'Start Here'!$B$10,"too few plants",IF(AND($H108&lt;=0.1,$I108&lt;=0.2,$J108&lt;=0.3),"ok",TRIM(IF($H108&gt;0.1,"SPECIES ","")&amp;IF($I108&gt;0.2,"GENUS ","")&amp;IF($J108&gt;0.3,"FAMILY","")))))</f>
        <v/>
      </c>
    </row>
    <row r="109" customFormat="false" ht="15" hidden="false" customHeight="true" outlineLevel="0" collapsed="false">
      <c r="A109" s="43" t="str">
        <f aca="false">IF(Palette!$A81="","",Palette!$A81)</f>
        <v/>
      </c>
      <c r="B109" s="47" t="str">
        <f aca="false">IF($A109="","",Palette!$K81)</f>
        <v/>
      </c>
      <c r="C109" s="47" t="str">
        <f aca="false">IF($A109="","",Palette!$C81)</f>
        <v/>
      </c>
      <c r="D109" s="47" t="str">
        <f aca="false">IF($A109="","",Palette!$D81)</f>
        <v/>
      </c>
      <c r="E109" s="42" t="str">
        <f aca="false">IF($A109="","",SUMIF('Install Log'!$G$3:$G$202,$A109,'Install Log'!$J$3:$J$202))</f>
        <v/>
      </c>
      <c r="F109" s="42" t="str">
        <f aca="false">IF($A109="","",SUMIF('Install Log'!$G$3:$G$202,$A109,'Install Log'!$R$3:$R$202))</f>
        <v/>
      </c>
      <c r="G109" s="85" t="str">
        <f aca="false">IF(OR($A109="",N($E109)=0),"",IFERROR($F109/SUMIFS('Install Log'!$J$3:$J$202,'Install Log'!$G$3:$G$202,$A109,'Install Log'!$R$3:$R$202,"&lt;&gt;"),"—"))</f>
        <v/>
      </c>
      <c r="H109" s="88" t="str">
        <f aca="false">IF(OR($A109="",$B$6=0),"",$E109/$B$6)</f>
        <v/>
      </c>
      <c r="I109" s="88" t="str">
        <f aca="false">IF(OR($A109="",$B$6=0),"",SUMIF($C$30:$C$179,$C109,$E$30:$E$179)/$B$6)</f>
        <v/>
      </c>
      <c r="J109" s="88" t="str">
        <f aca="false">IF(OR($A109="",$B$6=0),"",SUMIF($D$30:$D$179,$D109,$E$30:$E$179)/$B$6)</f>
        <v/>
      </c>
      <c r="K109" s="47" t="str">
        <f aca="false">IF(OR($A109="",N($E109)=0),"",IF($B$6&lt;'Start Here'!$B$10,"too few plants",IF(AND($H109&lt;=0.1,$I109&lt;=0.2,$J109&lt;=0.3),"ok",TRIM(IF($H109&gt;0.1,"SPECIES ","")&amp;IF($I109&gt;0.2,"GENUS ","")&amp;IF($J109&gt;0.3,"FAMILY","")))))</f>
        <v/>
      </c>
    </row>
    <row r="110" customFormat="false" ht="15" hidden="false" customHeight="true" outlineLevel="0" collapsed="false">
      <c r="A110" s="43" t="str">
        <f aca="false">IF(Palette!$A82="","",Palette!$A82)</f>
        <v/>
      </c>
      <c r="B110" s="47" t="str">
        <f aca="false">IF($A110="","",Palette!$K82)</f>
        <v/>
      </c>
      <c r="C110" s="47" t="str">
        <f aca="false">IF($A110="","",Palette!$C82)</f>
        <v/>
      </c>
      <c r="D110" s="47" t="str">
        <f aca="false">IF($A110="","",Palette!$D82)</f>
        <v/>
      </c>
      <c r="E110" s="42" t="str">
        <f aca="false">IF($A110="","",SUMIF('Install Log'!$G$3:$G$202,$A110,'Install Log'!$J$3:$J$202))</f>
        <v/>
      </c>
      <c r="F110" s="42" t="str">
        <f aca="false">IF($A110="","",SUMIF('Install Log'!$G$3:$G$202,$A110,'Install Log'!$R$3:$R$202))</f>
        <v/>
      </c>
      <c r="G110" s="85" t="str">
        <f aca="false">IF(OR($A110="",N($E110)=0),"",IFERROR($F110/SUMIFS('Install Log'!$J$3:$J$202,'Install Log'!$G$3:$G$202,$A110,'Install Log'!$R$3:$R$202,"&lt;&gt;"),"—"))</f>
        <v/>
      </c>
      <c r="H110" s="88" t="str">
        <f aca="false">IF(OR($A110="",$B$6=0),"",$E110/$B$6)</f>
        <v/>
      </c>
      <c r="I110" s="88" t="str">
        <f aca="false">IF(OR($A110="",$B$6=0),"",SUMIF($C$30:$C$179,$C110,$E$30:$E$179)/$B$6)</f>
        <v/>
      </c>
      <c r="J110" s="88" t="str">
        <f aca="false">IF(OR($A110="",$B$6=0),"",SUMIF($D$30:$D$179,$D110,$E$30:$E$179)/$B$6)</f>
        <v/>
      </c>
      <c r="K110" s="47" t="str">
        <f aca="false">IF(OR($A110="",N($E110)=0),"",IF($B$6&lt;'Start Here'!$B$10,"too few plants",IF(AND($H110&lt;=0.1,$I110&lt;=0.2,$J110&lt;=0.3),"ok",TRIM(IF($H110&gt;0.1,"SPECIES ","")&amp;IF($I110&gt;0.2,"GENUS ","")&amp;IF($J110&gt;0.3,"FAMILY","")))))</f>
        <v/>
      </c>
    </row>
    <row r="111" customFormat="false" ht="15" hidden="false" customHeight="true" outlineLevel="0" collapsed="false">
      <c r="A111" s="43" t="str">
        <f aca="false">IF(Palette!$A83="","",Palette!$A83)</f>
        <v/>
      </c>
      <c r="B111" s="47" t="str">
        <f aca="false">IF($A111="","",Palette!$K83)</f>
        <v/>
      </c>
      <c r="C111" s="47" t="str">
        <f aca="false">IF($A111="","",Palette!$C83)</f>
        <v/>
      </c>
      <c r="D111" s="47" t="str">
        <f aca="false">IF($A111="","",Palette!$D83)</f>
        <v/>
      </c>
      <c r="E111" s="42" t="str">
        <f aca="false">IF($A111="","",SUMIF('Install Log'!$G$3:$G$202,$A111,'Install Log'!$J$3:$J$202))</f>
        <v/>
      </c>
      <c r="F111" s="42" t="str">
        <f aca="false">IF($A111="","",SUMIF('Install Log'!$G$3:$G$202,$A111,'Install Log'!$R$3:$R$202))</f>
        <v/>
      </c>
      <c r="G111" s="85" t="str">
        <f aca="false">IF(OR($A111="",N($E111)=0),"",IFERROR($F111/SUMIFS('Install Log'!$J$3:$J$202,'Install Log'!$G$3:$G$202,$A111,'Install Log'!$R$3:$R$202,"&lt;&gt;"),"—"))</f>
        <v/>
      </c>
      <c r="H111" s="88" t="str">
        <f aca="false">IF(OR($A111="",$B$6=0),"",$E111/$B$6)</f>
        <v/>
      </c>
      <c r="I111" s="88" t="str">
        <f aca="false">IF(OR($A111="",$B$6=0),"",SUMIF($C$30:$C$179,$C111,$E$30:$E$179)/$B$6)</f>
        <v/>
      </c>
      <c r="J111" s="88" t="str">
        <f aca="false">IF(OR($A111="",$B$6=0),"",SUMIF($D$30:$D$179,$D111,$E$30:$E$179)/$B$6)</f>
        <v/>
      </c>
      <c r="K111" s="47" t="str">
        <f aca="false">IF(OR($A111="",N($E111)=0),"",IF($B$6&lt;'Start Here'!$B$10,"too few plants",IF(AND($H111&lt;=0.1,$I111&lt;=0.2,$J111&lt;=0.3),"ok",TRIM(IF($H111&gt;0.1,"SPECIES ","")&amp;IF($I111&gt;0.2,"GENUS ","")&amp;IF($J111&gt;0.3,"FAMILY","")))))</f>
        <v/>
      </c>
    </row>
    <row r="112" customFormat="false" ht="15" hidden="false" customHeight="true" outlineLevel="0" collapsed="false">
      <c r="A112" s="43" t="str">
        <f aca="false">IF(Palette!$A84="","",Palette!$A84)</f>
        <v/>
      </c>
      <c r="B112" s="47" t="str">
        <f aca="false">IF($A112="","",Palette!$K84)</f>
        <v/>
      </c>
      <c r="C112" s="47" t="str">
        <f aca="false">IF($A112="","",Palette!$C84)</f>
        <v/>
      </c>
      <c r="D112" s="47" t="str">
        <f aca="false">IF($A112="","",Palette!$D84)</f>
        <v/>
      </c>
      <c r="E112" s="42" t="str">
        <f aca="false">IF($A112="","",SUMIF('Install Log'!$G$3:$G$202,$A112,'Install Log'!$J$3:$J$202))</f>
        <v/>
      </c>
      <c r="F112" s="42" t="str">
        <f aca="false">IF($A112="","",SUMIF('Install Log'!$G$3:$G$202,$A112,'Install Log'!$R$3:$R$202))</f>
        <v/>
      </c>
      <c r="G112" s="85" t="str">
        <f aca="false">IF(OR($A112="",N($E112)=0),"",IFERROR($F112/SUMIFS('Install Log'!$J$3:$J$202,'Install Log'!$G$3:$G$202,$A112,'Install Log'!$R$3:$R$202,"&lt;&gt;"),"—"))</f>
        <v/>
      </c>
      <c r="H112" s="88" t="str">
        <f aca="false">IF(OR($A112="",$B$6=0),"",$E112/$B$6)</f>
        <v/>
      </c>
      <c r="I112" s="88" t="str">
        <f aca="false">IF(OR($A112="",$B$6=0),"",SUMIF($C$30:$C$179,$C112,$E$30:$E$179)/$B$6)</f>
        <v/>
      </c>
      <c r="J112" s="88" t="str">
        <f aca="false">IF(OR($A112="",$B$6=0),"",SUMIF($D$30:$D$179,$D112,$E$30:$E$179)/$B$6)</f>
        <v/>
      </c>
      <c r="K112" s="47" t="str">
        <f aca="false">IF(OR($A112="",N($E112)=0),"",IF($B$6&lt;'Start Here'!$B$10,"too few plants",IF(AND($H112&lt;=0.1,$I112&lt;=0.2,$J112&lt;=0.3),"ok",TRIM(IF($H112&gt;0.1,"SPECIES ","")&amp;IF($I112&gt;0.2,"GENUS ","")&amp;IF($J112&gt;0.3,"FAMILY","")))))</f>
        <v/>
      </c>
    </row>
    <row r="113" customFormat="false" ht="15" hidden="false" customHeight="true" outlineLevel="0" collapsed="false">
      <c r="A113" s="43" t="str">
        <f aca="false">IF(Palette!$A85="","",Palette!$A85)</f>
        <v/>
      </c>
      <c r="B113" s="47" t="str">
        <f aca="false">IF($A113="","",Palette!$K85)</f>
        <v/>
      </c>
      <c r="C113" s="47" t="str">
        <f aca="false">IF($A113="","",Palette!$C85)</f>
        <v/>
      </c>
      <c r="D113" s="47" t="str">
        <f aca="false">IF($A113="","",Palette!$D85)</f>
        <v/>
      </c>
      <c r="E113" s="42" t="str">
        <f aca="false">IF($A113="","",SUMIF('Install Log'!$G$3:$G$202,$A113,'Install Log'!$J$3:$J$202))</f>
        <v/>
      </c>
      <c r="F113" s="42" t="str">
        <f aca="false">IF($A113="","",SUMIF('Install Log'!$G$3:$G$202,$A113,'Install Log'!$R$3:$R$202))</f>
        <v/>
      </c>
      <c r="G113" s="85" t="str">
        <f aca="false">IF(OR($A113="",N($E113)=0),"",IFERROR($F113/SUMIFS('Install Log'!$J$3:$J$202,'Install Log'!$G$3:$G$202,$A113,'Install Log'!$R$3:$R$202,"&lt;&gt;"),"—"))</f>
        <v/>
      </c>
      <c r="H113" s="88" t="str">
        <f aca="false">IF(OR($A113="",$B$6=0),"",$E113/$B$6)</f>
        <v/>
      </c>
      <c r="I113" s="88" t="str">
        <f aca="false">IF(OR($A113="",$B$6=0),"",SUMIF($C$30:$C$179,$C113,$E$30:$E$179)/$B$6)</f>
        <v/>
      </c>
      <c r="J113" s="88" t="str">
        <f aca="false">IF(OR($A113="",$B$6=0),"",SUMIF($D$30:$D$179,$D113,$E$30:$E$179)/$B$6)</f>
        <v/>
      </c>
      <c r="K113" s="47" t="str">
        <f aca="false">IF(OR($A113="",N($E113)=0),"",IF($B$6&lt;'Start Here'!$B$10,"too few plants",IF(AND($H113&lt;=0.1,$I113&lt;=0.2,$J113&lt;=0.3),"ok",TRIM(IF($H113&gt;0.1,"SPECIES ","")&amp;IF($I113&gt;0.2,"GENUS ","")&amp;IF($J113&gt;0.3,"FAMILY","")))))</f>
        <v/>
      </c>
    </row>
    <row r="114" customFormat="false" ht="15" hidden="false" customHeight="true" outlineLevel="0" collapsed="false">
      <c r="A114" s="43" t="str">
        <f aca="false">IF(Palette!$A86="","",Palette!$A86)</f>
        <v/>
      </c>
      <c r="B114" s="47" t="str">
        <f aca="false">IF($A114="","",Palette!$K86)</f>
        <v/>
      </c>
      <c r="C114" s="47" t="str">
        <f aca="false">IF($A114="","",Palette!$C86)</f>
        <v/>
      </c>
      <c r="D114" s="47" t="str">
        <f aca="false">IF($A114="","",Palette!$D86)</f>
        <v/>
      </c>
      <c r="E114" s="42" t="str">
        <f aca="false">IF($A114="","",SUMIF('Install Log'!$G$3:$G$202,$A114,'Install Log'!$J$3:$J$202))</f>
        <v/>
      </c>
      <c r="F114" s="42" t="str">
        <f aca="false">IF($A114="","",SUMIF('Install Log'!$G$3:$G$202,$A114,'Install Log'!$R$3:$R$202))</f>
        <v/>
      </c>
      <c r="G114" s="85" t="str">
        <f aca="false">IF(OR($A114="",N($E114)=0),"",IFERROR($F114/SUMIFS('Install Log'!$J$3:$J$202,'Install Log'!$G$3:$G$202,$A114,'Install Log'!$R$3:$R$202,"&lt;&gt;"),"—"))</f>
        <v/>
      </c>
      <c r="H114" s="88" t="str">
        <f aca="false">IF(OR($A114="",$B$6=0),"",$E114/$B$6)</f>
        <v/>
      </c>
      <c r="I114" s="88" t="str">
        <f aca="false">IF(OR($A114="",$B$6=0),"",SUMIF($C$30:$C$179,$C114,$E$30:$E$179)/$B$6)</f>
        <v/>
      </c>
      <c r="J114" s="88" t="str">
        <f aca="false">IF(OR($A114="",$B$6=0),"",SUMIF($D$30:$D$179,$D114,$E$30:$E$179)/$B$6)</f>
        <v/>
      </c>
      <c r="K114" s="47" t="str">
        <f aca="false">IF(OR($A114="",N($E114)=0),"",IF($B$6&lt;'Start Here'!$B$10,"too few plants",IF(AND($H114&lt;=0.1,$I114&lt;=0.2,$J114&lt;=0.3),"ok",TRIM(IF($H114&gt;0.1,"SPECIES ","")&amp;IF($I114&gt;0.2,"GENUS ","")&amp;IF($J114&gt;0.3,"FAMILY","")))))</f>
        <v/>
      </c>
    </row>
    <row r="115" customFormat="false" ht="15" hidden="false" customHeight="true" outlineLevel="0" collapsed="false">
      <c r="A115" s="43" t="str">
        <f aca="false">IF(Palette!$A87="","",Palette!$A87)</f>
        <v/>
      </c>
      <c r="B115" s="47" t="str">
        <f aca="false">IF($A115="","",Palette!$K87)</f>
        <v/>
      </c>
      <c r="C115" s="47" t="str">
        <f aca="false">IF($A115="","",Palette!$C87)</f>
        <v/>
      </c>
      <c r="D115" s="47" t="str">
        <f aca="false">IF($A115="","",Palette!$D87)</f>
        <v/>
      </c>
      <c r="E115" s="42" t="str">
        <f aca="false">IF($A115="","",SUMIF('Install Log'!$G$3:$G$202,$A115,'Install Log'!$J$3:$J$202))</f>
        <v/>
      </c>
      <c r="F115" s="42" t="str">
        <f aca="false">IF($A115="","",SUMIF('Install Log'!$G$3:$G$202,$A115,'Install Log'!$R$3:$R$202))</f>
        <v/>
      </c>
      <c r="G115" s="85" t="str">
        <f aca="false">IF(OR($A115="",N($E115)=0),"",IFERROR($F115/SUMIFS('Install Log'!$J$3:$J$202,'Install Log'!$G$3:$G$202,$A115,'Install Log'!$R$3:$R$202,"&lt;&gt;"),"—"))</f>
        <v/>
      </c>
      <c r="H115" s="88" t="str">
        <f aca="false">IF(OR($A115="",$B$6=0),"",$E115/$B$6)</f>
        <v/>
      </c>
      <c r="I115" s="88" t="str">
        <f aca="false">IF(OR($A115="",$B$6=0),"",SUMIF($C$30:$C$179,$C115,$E$30:$E$179)/$B$6)</f>
        <v/>
      </c>
      <c r="J115" s="88" t="str">
        <f aca="false">IF(OR($A115="",$B$6=0),"",SUMIF($D$30:$D$179,$D115,$E$30:$E$179)/$B$6)</f>
        <v/>
      </c>
      <c r="K115" s="47" t="str">
        <f aca="false">IF(OR($A115="",N($E115)=0),"",IF($B$6&lt;'Start Here'!$B$10,"too few plants",IF(AND($H115&lt;=0.1,$I115&lt;=0.2,$J115&lt;=0.3),"ok",TRIM(IF($H115&gt;0.1,"SPECIES ","")&amp;IF($I115&gt;0.2,"GENUS ","")&amp;IF($J115&gt;0.3,"FAMILY","")))))</f>
        <v/>
      </c>
    </row>
    <row r="116" customFormat="false" ht="15" hidden="false" customHeight="true" outlineLevel="0" collapsed="false">
      <c r="A116" s="43" t="str">
        <f aca="false">IF(Palette!$A88="","",Palette!$A88)</f>
        <v/>
      </c>
      <c r="B116" s="47" t="str">
        <f aca="false">IF($A116="","",Palette!$K88)</f>
        <v/>
      </c>
      <c r="C116" s="47" t="str">
        <f aca="false">IF($A116="","",Palette!$C88)</f>
        <v/>
      </c>
      <c r="D116" s="47" t="str">
        <f aca="false">IF($A116="","",Palette!$D88)</f>
        <v/>
      </c>
      <c r="E116" s="42" t="str">
        <f aca="false">IF($A116="","",SUMIF('Install Log'!$G$3:$G$202,$A116,'Install Log'!$J$3:$J$202))</f>
        <v/>
      </c>
      <c r="F116" s="42" t="str">
        <f aca="false">IF($A116="","",SUMIF('Install Log'!$G$3:$G$202,$A116,'Install Log'!$R$3:$R$202))</f>
        <v/>
      </c>
      <c r="G116" s="85" t="str">
        <f aca="false">IF(OR($A116="",N($E116)=0),"",IFERROR($F116/SUMIFS('Install Log'!$J$3:$J$202,'Install Log'!$G$3:$G$202,$A116,'Install Log'!$R$3:$R$202,"&lt;&gt;"),"—"))</f>
        <v/>
      </c>
      <c r="H116" s="88" t="str">
        <f aca="false">IF(OR($A116="",$B$6=0),"",$E116/$B$6)</f>
        <v/>
      </c>
      <c r="I116" s="88" t="str">
        <f aca="false">IF(OR($A116="",$B$6=0),"",SUMIF($C$30:$C$179,$C116,$E$30:$E$179)/$B$6)</f>
        <v/>
      </c>
      <c r="J116" s="88" t="str">
        <f aca="false">IF(OR($A116="",$B$6=0),"",SUMIF($D$30:$D$179,$D116,$E$30:$E$179)/$B$6)</f>
        <v/>
      </c>
      <c r="K116" s="47" t="str">
        <f aca="false">IF(OR($A116="",N($E116)=0),"",IF($B$6&lt;'Start Here'!$B$10,"too few plants",IF(AND($H116&lt;=0.1,$I116&lt;=0.2,$J116&lt;=0.3),"ok",TRIM(IF($H116&gt;0.1,"SPECIES ","")&amp;IF($I116&gt;0.2,"GENUS ","")&amp;IF($J116&gt;0.3,"FAMILY","")))))</f>
        <v/>
      </c>
    </row>
    <row r="117" customFormat="false" ht="15" hidden="false" customHeight="true" outlineLevel="0" collapsed="false">
      <c r="A117" s="43" t="str">
        <f aca="false">IF(Palette!$A89="","",Palette!$A89)</f>
        <v/>
      </c>
      <c r="B117" s="47" t="str">
        <f aca="false">IF($A117="","",Palette!$K89)</f>
        <v/>
      </c>
      <c r="C117" s="47" t="str">
        <f aca="false">IF($A117="","",Palette!$C89)</f>
        <v/>
      </c>
      <c r="D117" s="47" t="str">
        <f aca="false">IF($A117="","",Palette!$D89)</f>
        <v/>
      </c>
      <c r="E117" s="42" t="str">
        <f aca="false">IF($A117="","",SUMIF('Install Log'!$G$3:$G$202,$A117,'Install Log'!$J$3:$J$202))</f>
        <v/>
      </c>
      <c r="F117" s="42" t="str">
        <f aca="false">IF($A117="","",SUMIF('Install Log'!$G$3:$G$202,$A117,'Install Log'!$R$3:$R$202))</f>
        <v/>
      </c>
      <c r="G117" s="85" t="str">
        <f aca="false">IF(OR($A117="",N($E117)=0),"",IFERROR($F117/SUMIFS('Install Log'!$J$3:$J$202,'Install Log'!$G$3:$G$202,$A117,'Install Log'!$R$3:$R$202,"&lt;&gt;"),"—"))</f>
        <v/>
      </c>
      <c r="H117" s="88" t="str">
        <f aca="false">IF(OR($A117="",$B$6=0),"",$E117/$B$6)</f>
        <v/>
      </c>
      <c r="I117" s="88" t="str">
        <f aca="false">IF(OR($A117="",$B$6=0),"",SUMIF($C$30:$C$179,$C117,$E$30:$E$179)/$B$6)</f>
        <v/>
      </c>
      <c r="J117" s="88" t="str">
        <f aca="false">IF(OR($A117="",$B$6=0),"",SUMIF($D$30:$D$179,$D117,$E$30:$E$179)/$B$6)</f>
        <v/>
      </c>
      <c r="K117" s="47" t="str">
        <f aca="false">IF(OR($A117="",N($E117)=0),"",IF($B$6&lt;'Start Here'!$B$10,"too few plants",IF(AND($H117&lt;=0.1,$I117&lt;=0.2,$J117&lt;=0.3),"ok",TRIM(IF($H117&gt;0.1,"SPECIES ","")&amp;IF($I117&gt;0.2,"GENUS ","")&amp;IF($J117&gt;0.3,"FAMILY","")))))</f>
        <v/>
      </c>
    </row>
    <row r="118" customFormat="false" ht="15" hidden="false" customHeight="true" outlineLevel="0" collapsed="false">
      <c r="A118" s="43" t="str">
        <f aca="false">IF(Palette!$A90="","",Palette!$A90)</f>
        <v/>
      </c>
      <c r="B118" s="47" t="str">
        <f aca="false">IF($A118="","",Palette!$K90)</f>
        <v/>
      </c>
      <c r="C118" s="47" t="str">
        <f aca="false">IF($A118="","",Palette!$C90)</f>
        <v/>
      </c>
      <c r="D118" s="47" t="str">
        <f aca="false">IF($A118="","",Palette!$D90)</f>
        <v/>
      </c>
      <c r="E118" s="42" t="str">
        <f aca="false">IF($A118="","",SUMIF('Install Log'!$G$3:$G$202,$A118,'Install Log'!$J$3:$J$202))</f>
        <v/>
      </c>
      <c r="F118" s="42" t="str">
        <f aca="false">IF($A118="","",SUMIF('Install Log'!$G$3:$G$202,$A118,'Install Log'!$R$3:$R$202))</f>
        <v/>
      </c>
      <c r="G118" s="85" t="str">
        <f aca="false">IF(OR($A118="",N($E118)=0),"",IFERROR($F118/SUMIFS('Install Log'!$J$3:$J$202,'Install Log'!$G$3:$G$202,$A118,'Install Log'!$R$3:$R$202,"&lt;&gt;"),"—"))</f>
        <v/>
      </c>
      <c r="H118" s="88" t="str">
        <f aca="false">IF(OR($A118="",$B$6=0),"",$E118/$B$6)</f>
        <v/>
      </c>
      <c r="I118" s="88" t="str">
        <f aca="false">IF(OR($A118="",$B$6=0),"",SUMIF($C$30:$C$179,$C118,$E$30:$E$179)/$B$6)</f>
        <v/>
      </c>
      <c r="J118" s="88" t="str">
        <f aca="false">IF(OR($A118="",$B$6=0),"",SUMIF($D$30:$D$179,$D118,$E$30:$E$179)/$B$6)</f>
        <v/>
      </c>
      <c r="K118" s="47" t="str">
        <f aca="false">IF(OR($A118="",N($E118)=0),"",IF($B$6&lt;'Start Here'!$B$10,"too few plants",IF(AND($H118&lt;=0.1,$I118&lt;=0.2,$J118&lt;=0.3),"ok",TRIM(IF($H118&gt;0.1,"SPECIES ","")&amp;IF($I118&gt;0.2,"GENUS ","")&amp;IF($J118&gt;0.3,"FAMILY","")))))</f>
        <v/>
      </c>
    </row>
    <row r="119" customFormat="false" ht="15" hidden="false" customHeight="true" outlineLevel="0" collapsed="false">
      <c r="A119" s="43" t="str">
        <f aca="false">IF(Palette!$A91="","",Palette!$A91)</f>
        <v/>
      </c>
      <c r="B119" s="47" t="str">
        <f aca="false">IF($A119="","",Palette!$K91)</f>
        <v/>
      </c>
      <c r="C119" s="47" t="str">
        <f aca="false">IF($A119="","",Palette!$C91)</f>
        <v/>
      </c>
      <c r="D119" s="47" t="str">
        <f aca="false">IF($A119="","",Palette!$D91)</f>
        <v/>
      </c>
      <c r="E119" s="42" t="str">
        <f aca="false">IF($A119="","",SUMIF('Install Log'!$G$3:$G$202,$A119,'Install Log'!$J$3:$J$202))</f>
        <v/>
      </c>
      <c r="F119" s="42" t="str">
        <f aca="false">IF($A119="","",SUMIF('Install Log'!$G$3:$G$202,$A119,'Install Log'!$R$3:$R$202))</f>
        <v/>
      </c>
      <c r="G119" s="85" t="str">
        <f aca="false">IF(OR($A119="",N($E119)=0),"",IFERROR($F119/SUMIFS('Install Log'!$J$3:$J$202,'Install Log'!$G$3:$G$202,$A119,'Install Log'!$R$3:$R$202,"&lt;&gt;"),"—"))</f>
        <v/>
      </c>
      <c r="H119" s="88" t="str">
        <f aca="false">IF(OR($A119="",$B$6=0),"",$E119/$B$6)</f>
        <v/>
      </c>
      <c r="I119" s="88" t="str">
        <f aca="false">IF(OR($A119="",$B$6=0),"",SUMIF($C$30:$C$179,$C119,$E$30:$E$179)/$B$6)</f>
        <v/>
      </c>
      <c r="J119" s="88" t="str">
        <f aca="false">IF(OR($A119="",$B$6=0),"",SUMIF($D$30:$D$179,$D119,$E$30:$E$179)/$B$6)</f>
        <v/>
      </c>
      <c r="K119" s="47" t="str">
        <f aca="false">IF(OR($A119="",N($E119)=0),"",IF($B$6&lt;'Start Here'!$B$10,"too few plants",IF(AND($H119&lt;=0.1,$I119&lt;=0.2,$J119&lt;=0.3),"ok",TRIM(IF($H119&gt;0.1,"SPECIES ","")&amp;IF($I119&gt;0.2,"GENUS ","")&amp;IF($J119&gt;0.3,"FAMILY","")))))</f>
        <v/>
      </c>
    </row>
    <row r="120" customFormat="false" ht="15" hidden="false" customHeight="true" outlineLevel="0" collapsed="false">
      <c r="A120" s="43" t="str">
        <f aca="false">IF(Palette!$A92="","",Palette!$A92)</f>
        <v/>
      </c>
      <c r="B120" s="47" t="str">
        <f aca="false">IF($A120="","",Palette!$K92)</f>
        <v/>
      </c>
      <c r="C120" s="47" t="str">
        <f aca="false">IF($A120="","",Palette!$C92)</f>
        <v/>
      </c>
      <c r="D120" s="47" t="str">
        <f aca="false">IF($A120="","",Palette!$D92)</f>
        <v/>
      </c>
      <c r="E120" s="42" t="str">
        <f aca="false">IF($A120="","",SUMIF('Install Log'!$G$3:$G$202,$A120,'Install Log'!$J$3:$J$202))</f>
        <v/>
      </c>
      <c r="F120" s="42" t="str">
        <f aca="false">IF($A120="","",SUMIF('Install Log'!$G$3:$G$202,$A120,'Install Log'!$R$3:$R$202))</f>
        <v/>
      </c>
      <c r="G120" s="85" t="str">
        <f aca="false">IF(OR($A120="",N($E120)=0),"",IFERROR($F120/SUMIFS('Install Log'!$J$3:$J$202,'Install Log'!$G$3:$G$202,$A120,'Install Log'!$R$3:$R$202,"&lt;&gt;"),"—"))</f>
        <v/>
      </c>
      <c r="H120" s="88" t="str">
        <f aca="false">IF(OR($A120="",$B$6=0),"",$E120/$B$6)</f>
        <v/>
      </c>
      <c r="I120" s="88" t="str">
        <f aca="false">IF(OR($A120="",$B$6=0),"",SUMIF($C$30:$C$179,$C120,$E$30:$E$179)/$B$6)</f>
        <v/>
      </c>
      <c r="J120" s="88" t="str">
        <f aca="false">IF(OR($A120="",$B$6=0),"",SUMIF($D$30:$D$179,$D120,$E$30:$E$179)/$B$6)</f>
        <v/>
      </c>
      <c r="K120" s="47" t="str">
        <f aca="false">IF(OR($A120="",N($E120)=0),"",IF($B$6&lt;'Start Here'!$B$10,"too few plants",IF(AND($H120&lt;=0.1,$I120&lt;=0.2,$J120&lt;=0.3),"ok",TRIM(IF($H120&gt;0.1,"SPECIES ","")&amp;IF($I120&gt;0.2,"GENUS ","")&amp;IF($J120&gt;0.3,"FAMILY","")))))</f>
        <v/>
      </c>
    </row>
    <row r="121" customFormat="false" ht="15" hidden="false" customHeight="true" outlineLevel="0" collapsed="false">
      <c r="A121" s="43" t="str">
        <f aca="false">IF(Palette!$A93="","",Palette!$A93)</f>
        <v/>
      </c>
      <c r="B121" s="47" t="str">
        <f aca="false">IF($A121="","",Palette!$K93)</f>
        <v/>
      </c>
      <c r="C121" s="47" t="str">
        <f aca="false">IF($A121="","",Palette!$C93)</f>
        <v/>
      </c>
      <c r="D121" s="47" t="str">
        <f aca="false">IF($A121="","",Palette!$D93)</f>
        <v/>
      </c>
      <c r="E121" s="42" t="str">
        <f aca="false">IF($A121="","",SUMIF('Install Log'!$G$3:$G$202,$A121,'Install Log'!$J$3:$J$202))</f>
        <v/>
      </c>
      <c r="F121" s="42" t="str">
        <f aca="false">IF($A121="","",SUMIF('Install Log'!$G$3:$G$202,$A121,'Install Log'!$R$3:$R$202))</f>
        <v/>
      </c>
      <c r="G121" s="85" t="str">
        <f aca="false">IF(OR($A121="",N($E121)=0),"",IFERROR($F121/SUMIFS('Install Log'!$J$3:$J$202,'Install Log'!$G$3:$G$202,$A121,'Install Log'!$R$3:$R$202,"&lt;&gt;"),"—"))</f>
        <v/>
      </c>
      <c r="H121" s="88" t="str">
        <f aca="false">IF(OR($A121="",$B$6=0),"",$E121/$B$6)</f>
        <v/>
      </c>
      <c r="I121" s="88" t="str">
        <f aca="false">IF(OR($A121="",$B$6=0),"",SUMIF($C$30:$C$179,$C121,$E$30:$E$179)/$B$6)</f>
        <v/>
      </c>
      <c r="J121" s="88" t="str">
        <f aca="false">IF(OR($A121="",$B$6=0),"",SUMIF($D$30:$D$179,$D121,$E$30:$E$179)/$B$6)</f>
        <v/>
      </c>
      <c r="K121" s="47" t="str">
        <f aca="false">IF(OR($A121="",N($E121)=0),"",IF($B$6&lt;'Start Here'!$B$10,"too few plants",IF(AND($H121&lt;=0.1,$I121&lt;=0.2,$J121&lt;=0.3),"ok",TRIM(IF($H121&gt;0.1,"SPECIES ","")&amp;IF($I121&gt;0.2,"GENUS ","")&amp;IF($J121&gt;0.3,"FAMILY","")))))</f>
        <v/>
      </c>
    </row>
    <row r="122" customFormat="false" ht="15" hidden="false" customHeight="true" outlineLevel="0" collapsed="false">
      <c r="A122" s="43" t="str">
        <f aca="false">IF(Palette!$A94="","",Palette!$A94)</f>
        <v/>
      </c>
      <c r="B122" s="47" t="str">
        <f aca="false">IF($A122="","",Palette!$K94)</f>
        <v/>
      </c>
      <c r="C122" s="47" t="str">
        <f aca="false">IF($A122="","",Palette!$C94)</f>
        <v/>
      </c>
      <c r="D122" s="47" t="str">
        <f aca="false">IF($A122="","",Palette!$D94)</f>
        <v/>
      </c>
      <c r="E122" s="42" t="str">
        <f aca="false">IF($A122="","",SUMIF('Install Log'!$G$3:$G$202,$A122,'Install Log'!$J$3:$J$202))</f>
        <v/>
      </c>
      <c r="F122" s="42" t="str">
        <f aca="false">IF($A122="","",SUMIF('Install Log'!$G$3:$G$202,$A122,'Install Log'!$R$3:$R$202))</f>
        <v/>
      </c>
      <c r="G122" s="85" t="str">
        <f aca="false">IF(OR($A122="",N($E122)=0),"",IFERROR($F122/SUMIFS('Install Log'!$J$3:$J$202,'Install Log'!$G$3:$G$202,$A122,'Install Log'!$R$3:$R$202,"&lt;&gt;"),"—"))</f>
        <v/>
      </c>
      <c r="H122" s="88" t="str">
        <f aca="false">IF(OR($A122="",$B$6=0),"",$E122/$B$6)</f>
        <v/>
      </c>
      <c r="I122" s="88" t="str">
        <f aca="false">IF(OR($A122="",$B$6=0),"",SUMIF($C$30:$C$179,$C122,$E$30:$E$179)/$B$6)</f>
        <v/>
      </c>
      <c r="J122" s="88" t="str">
        <f aca="false">IF(OR($A122="",$B$6=0),"",SUMIF($D$30:$D$179,$D122,$E$30:$E$179)/$B$6)</f>
        <v/>
      </c>
      <c r="K122" s="47" t="str">
        <f aca="false">IF(OR($A122="",N($E122)=0),"",IF($B$6&lt;'Start Here'!$B$10,"too few plants",IF(AND($H122&lt;=0.1,$I122&lt;=0.2,$J122&lt;=0.3),"ok",TRIM(IF($H122&gt;0.1,"SPECIES ","")&amp;IF($I122&gt;0.2,"GENUS ","")&amp;IF($J122&gt;0.3,"FAMILY","")))))</f>
        <v/>
      </c>
    </row>
    <row r="123" customFormat="false" ht="15" hidden="false" customHeight="true" outlineLevel="0" collapsed="false">
      <c r="A123" s="43" t="str">
        <f aca="false">IF(Palette!$A95="","",Palette!$A95)</f>
        <v/>
      </c>
      <c r="B123" s="47" t="str">
        <f aca="false">IF($A123="","",Palette!$K95)</f>
        <v/>
      </c>
      <c r="C123" s="47" t="str">
        <f aca="false">IF($A123="","",Palette!$C95)</f>
        <v/>
      </c>
      <c r="D123" s="47" t="str">
        <f aca="false">IF($A123="","",Palette!$D95)</f>
        <v/>
      </c>
      <c r="E123" s="42" t="str">
        <f aca="false">IF($A123="","",SUMIF('Install Log'!$G$3:$G$202,$A123,'Install Log'!$J$3:$J$202))</f>
        <v/>
      </c>
      <c r="F123" s="42" t="str">
        <f aca="false">IF($A123="","",SUMIF('Install Log'!$G$3:$G$202,$A123,'Install Log'!$R$3:$R$202))</f>
        <v/>
      </c>
      <c r="G123" s="85" t="str">
        <f aca="false">IF(OR($A123="",N($E123)=0),"",IFERROR($F123/SUMIFS('Install Log'!$J$3:$J$202,'Install Log'!$G$3:$G$202,$A123,'Install Log'!$R$3:$R$202,"&lt;&gt;"),"—"))</f>
        <v/>
      </c>
      <c r="H123" s="88" t="str">
        <f aca="false">IF(OR($A123="",$B$6=0),"",$E123/$B$6)</f>
        <v/>
      </c>
      <c r="I123" s="88" t="str">
        <f aca="false">IF(OR($A123="",$B$6=0),"",SUMIF($C$30:$C$179,$C123,$E$30:$E$179)/$B$6)</f>
        <v/>
      </c>
      <c r="J123" s="88" t="str">
        <f aca="false">IF(OR($A123="",$B$6=0),"",SUMIF($D$30:$D$179,$D123,$E$30:$E$179)/$B$6)</f>
        <v/>
      </c>
      <c r="K123" s="47" t="str">
        <f aca="false">IF(OR($A123="",N($E123)=0),"",IF($B$6&lt;'Start Here'!$B$10,"too few plants",IF(AND($H123&lt;=0.1,$I123&lt;=0.2,$J123&lt;=0.3),"ok",TRIM(IF($H123&gt;0.1,"SPECIES ","")&amp;IF($I123&gt;0.2,"GENUS ","")&amp;IF($J123&gt;0.3,"FAMILY","")))))</f>
        <v/>
      </c>
    </row>
    <row r="124" customFormat="false" ht="15" hidden="false" customHeight="true" outlineLevel="0" collapsed="false">
      <c r="A124" s="43" t="str">
        <f aca="false">IF(Palette!$A96="","",Palette!$A96)</f>
        <v/>
      </c>
      <c r="B124" s="47" t="str">
        <f aca="false">IF($A124="","",Palette!$K96)</f>
        <v/>
      </c>
      <c r="C124" s="47" t="str">
        <f aca="false">IF($A124="","",Palette!$C96)</f>
        <v/>
      </c>
      <c r="D124" s="47" t="str">
        <f aca="false">IF($A124="","",Palette!$D96)</f>
        <v/>
      </c>
      <c r="E124" s="42" t="str">
        <f aca="false">IF($A124="","",SUMIF('Install Log'!$G$3:$G$202,$A124,'Install Log'!$J$3:$J$202))</f>
        <v/>
      </c>
      <c r="F124" s="42" t="str">
        <f aca="false">IF($A124="","",SUMIF('Install Log'!$G$3:$G$202,$A124,'Install Log'!$R$3:$R$202))</f>
        <v/>
      </c>
      <c r="G124" s="85" t="str">
        <f aca="false">IF(OR($A124="",N($E124)=0),"",IFERROR($F124/SUMIFS('Install Log'!$J$3:$J$202,'Install Log'!$G$3:$G$202,$A124,'Install Log'!$R$3:$R$202,"&lt;&gt;"),"—"))</f>
        <v/>
      </c>
      <c r="H124" s="88" t="str">
        <f aca="false">IF(OR($A124="",$B$6=0),"",$E124/$B$6)</f>
        <v/>
      </c>
      <c r="I124" s="88" t="str">
        <f aca="false">IF(OR($A124="",$B$6=0),"",SUMIF($C$30:$C$179,$C124,$E$30:$E$179)/$B$6)</f>
        <v/>
      </c>
      <c r="J124" s="88" t="str">
        <f aca="false">IF(OR($A124="",$B$6=0),"",SUMIF($D$30:$D$179,$D124,$E$30:$E$179)/$B$6)</f>
        <v/>
      </c>
      <c r="K124" s="47" t="str">
        <f aca="false">IF(OR($A124="",N($E124)=0),"",IF($B$6&lt;'Start Here'!$B$10,"too few plants",IF(AND($H124&lt;=0.1,$I124&lt;=0.2,$J124&lt;=0.3),"ok",TRIM(IF($H124&gt;0.1,"SPECIES ","")&amp;IF($I124&gt;0.2,"GENUS ","")&amp;IF($J124&gt;0.3,"FAMILY","")))))</f>
        <v/>
      </c>
    </row>
    <row r="125" customFormat="false" ht="15" hidden="false" customHeight="true" outlineLevel="0" collapsed="false">
      <c r="A125" s="43" t="str">
        <f aca="false">IF(Palette!$A97="","",Palette!$A97)</f>
        <v/>
      </c>
      <c r="B125" s="47" t="str">
        <f aca="false">IF($A125="","",Palette!$K97)</f>
        <v/>
      </c>
      <c r="C125" s="47" t="str">
        <f aca="false">IF($A125="","",Palette!$C97)</f>
        <v/>
      </c>
      <c r="D125" s="47" t="str">
        <f aca="false">IF($A125="","",Palette!$D97)</f>
        <v/>
      </c>
      <c r="E125" s="42" t="str">
        <f aca="false">IF($A125="","",SUMIF('Install Log'!$G$3:$G$202,$A125,'Install Log'!$J$3:$J$202))</f>
        <v/>
      </c>
      <c r="F125" s="42" t="str">
        <f aca="false">IF($A125="","",SUMIF('Install Log'!$G$3:$G$202,$A125,'Install Log'!$R$3:$R$202))</f>
        <v/>
      </c>
      <c r="G125" s="85" t="str">
        <f aca="false">IF(OR($A125="",N($E125)=0),"",IFERROR($F125/SUMIFS('Install Log'!$J$3:$J$202,'Install Log'!$G$3:$G$202,$A125,'Install Log'!$R$3:$R$202,"&lt;&gt;"),"—"))</f>
        <v/>
      </c>
      <c r="H125" s="88" t="str">
        <f aca="false">IF(OR($A125="",$B$6=0),"",$E125/$B$6)</f>
        <v/>
      </c>
      <c r="I125" s="88" t="str">
        <f aca="false">IF(OR($A125="",$B$6=0),"",SUMIF($C$30:$C$179,$C125,$E$30:$E$179)/$B$6)</f>
        <v/>
      </c>
      <c r="J125" s="88" t="str">
        <f aca="false">IF(OR($A125="",$B$6=0),"",SUMIF($D$30:$D$179,$D125,$E$30:$E$179)/$B$6)</f>
        <v/>
      </c>
      <c r="K125" s="47" t="str">
        <f aca="false">IF(OR($A125="",N($E125)=0),"",IF($B$6&lt;'Start Here'!$B$10,"too few plants",IF(AND($H125&lt;=0.1,$I125&lt;=0.2,$J125&lt;=0.3),"ok",TRIM(IF($H125&gt;0.1,"SPECIES ","")&amp;IF($I125&gt;0.2,"GENUS ","")&amp;IF($J125&gt;0.3,"FAMILY","")))))</f>
        <v/>
      </c>
    </row>
    <row r="126" customFormat="false" ht="15" hidden="false" customHeight="true" outlineLevel="0" collapsed="false">
      <c r="A126" s="43" t="str">
        <f aca="false">IF(Palette!$A98="","",Palette!$A98)</f>
        <v/>
      </c>
      <c r="B126" s="47" t="str">
        <f aca="false">IF($A126="","",Palette!$K98)</f>
        <v/>
      </c>
      <c r="C126" s="47" t="str">
        <f aca="false">IF($A126="","",Palette!$C98)</f>
        <v/>
      </c>
      <c r="D126" s="47" t="str">
        <f aca="false">IF($A126="","",Palette!$D98)</f>
        <v/>
      </c>
      <c r="E126" s="42" t="str">
        <f aca="false">IF($A126="","",SUMIF('Install Log'!$G$3:$G$202,$A126,'Install Log'!$J$3:$J$202))</f>
        <v/>
      </c>
      <c r="F126" s="42" t="str">
        <f aca="false">IF($A126="","",SUMIF('Install Log'!$G$3:$G$202,$A126,'Install Log'!$R$3:$R$202))</f>
        <v/>
      </c>
      <c r="G126" s="85" t="str">
        <f aca="false">IF(OR($A126="",N($E126)=0),"",IFERROR($F126/SUMIFS('Install Log'!$J$3:$J$202,'Install Log'!$G$3:$G$202,$A126,'Install Log'!$R$3:$R$202,"&lt;&gt;"),"—"))</f>
        <v/>
      </c>
      <c r="H126" s="88" t="str">
        <f aca="false">IF(OR($A126="",$B$6=0),"",$E126/$B$6)</f>
        <v/>
      </c>
      <c r="I126" s="88" t="str">
        <f aca="false">IF(OR($A126="",$B$6=0),"",SUMIF($C$30:$C$179,$C126,$E$30:$E$179)/$B$6)</f>
        <v/>
      </c>
      <c r="J126" s="88" t="str">
        <f aca="false">IF(OR($A126="",$B$6=0),"",SUMIF($D$30:$D$179,$D126,$E$30:$E$179)/$B$6)</f>
        <v/>
      </c>
      <c r="K126" s="47" t="str">
        <f aca="false">IF(OR($A126="",N($E126)=0),"",IF($B$6&lt;'Start Here'!$B$10,"too few plants",IF(AND($H126&lt;=0.1,$I126&lt;=0.2,$J126&lt;=0.3),"ok",TRIM(IF($H126&gt;0.1,"SPECIES ","")&amp;IF($I126&gt;0.2,"GENUS ","")&amp;IF($J126&gt;0.3,"FAMILY","")))))</f>
        <v/>
      </c>
    </row>
    <row r="127" customFormat="false" ht="15" hidden="false" customHeight="true" outlineLevel="0" collapsed="false">
      <c r="A127" s="43" t="str">
        <f aca="false">IF(Palette!$A99="","",Palette!$A99)</f>
        <v/>
      </c>
      <c r="B127" s="47" t="str">
        <f aca="false">IF($A127="","",Palette!$K99)</f>
        <v/>
      </c>
      <c r="C127" s="47" t="str">
        <f aca="false">IF($A127="","",Palette!$C99)</f>
        <v/>
      </c>
      <c r="D127" s="47" t="str">
        <f aca="false">IF($A127="","",Palette!$D99)</f>
        <v/>
      </c>
      <c r="E127" s="42" t="str">
        <f aca="false">IF($A127="","",SUMIF('Install Log'!$G$3:$G$202,$A127,'Install Log'!$J$3:$J$202))</f>
        <v/>
      </c>
      <c r="F127" s="42" t="str">
        <f aca="false">IF($A127="","",SUMIF('Install Log'!$G$3:$G$202,$A127,'Install Log'!$R$3:$R$202))</f>
        <v/>
      </c>
      <c r="G127" s="85" t="str">
        <f aca="false">IF(OR($A127="",N($E127)=0),"",IFERROR($F127/SUMIFS('Install Log'!$J$3:$J$202,'Install Log'!$G$3:$G$202,$A127,'Install Log'!$R$3:$R$202,"&lt;&gt;"),"—"))</f>
        <v/>
      </c>
      <c r="H127" s="88" t="str">
        <f aca="false">IF(OR($A127="",$B$6=0),"",$E127/$B$6)</f>
        <v/>
      </c>
      <c r="I127" s="88" t="str">
        <f aca="false">IF(OR($A127="",$B$6=0),"",SUMIF($C$30:$C$179,$C127,$E$30:$E$179)/$B$6)</f>
        <v/>
      </c>
      <c r="J127" s="88" t="str">
        <f aca="false">IF(OR($A127="",$B$6=0),"",SUMIF($D$30:$D$179,$D127,$E$30:$E$179)/$B$6)</f>
        <v/>
      </c>
      <c r="K127" s="47" t="str">
        <f aca="false">IF(OR($A127="",N($E127)=0),"",IF($B$6&lt;'Start Here'!$B$10,"too few plants",IF(AND($H127&lt;=0.1,$I127&lt;=0.2,$J127&lt;=0.3),"ok",TRIM(IF($H127&gt;0.1,"SPECIES ","")&amp;IF($I127&gt;0.2,"GENUS ","")&amp;IF($J127&gt;0.3,"FAMILY","")))))</f>
        <v/>
      </c>
    </row>
    <row r="128" customFormat="false" ht="15" hidden="false" customHeight="true" outlineLevel="0" collapsed="false">
      <c r="A128" s="43" t="str">
        <f aca="false">IF(Palette!$A100="","",Palette!$A100)</f>
        <v/>
      </c>
      <c r="B128" s="47" t="str">
        <f aca="false">IF($A128="","",Palette!$K100)</f>
        <v/>
      </c>
      <c r="C128" s="47" t="str">
        <f aca="false">IF($A128="","",Palette!$C100)</f>
        <v/>
      </c>
      <c r="D128" s="47" t="str">
        <f aca="false">IF($A128="","",Palette!$D100)</f>
        <v/>
      </c>
      <c r="E128" s="42" t="str">
        <f aca="false">IF($A128="","",SUMIF('Install Log'!$G$3:$G$202,$A128,'Install Log'!$J$3:$J$202))</f>
        <v/>
      </c>
      <c r="F128" s="42" t="str">
        <f aca="false">IF($A128="","",SUMIF('Install Log'!$G$3:$G$202,$A128,'Install Log'!$R$3:$R$202))</f>
        <v/>
      </c>
      <c r="G128" s="85" t="str">
        <f aca="false">IF(OR($A128="",N($E128)=0),"",IFERROR($F128/SUMIFS('Install Log'!$J$3:$J$202,'Install Log'!$G$3:$G$202,$A128,'Install Log'!$R$3:$R$202,"&lt;&gt;"),"—"))</f>
        <v/>
      </c>
      <c r="H128" s="88" t="str">
        <f aca="false">IF(OR($A128="",$B$6=0),"",$E128/$B$6)</f>
        <v/>
      </c>
      <c r="I128" s="88" t="str">
        <f aca="false">IF(OR($A128="",$B$6=0),"",SUMIF($C$30:$C$179,$C128,$E$30:$E$179)/$B$6)</f>
        <v/>
      </c>
      <c r="J128" s="88" t="str">
        <f aca="false">IF(OR($A128="",$B$6=0),"",SUMIF($D$30:$D$179,$D128,$E$30:$E$179)/$B$6)</f>
        <v/>
      </c>
      <c r="K128" s="47" t="str">
        <f aca="false">IF(OR($A128="",N($E128)=0),"",IF($B$6&lt;'Start Here'!$B$10,"too few plants",IF(AND($H128&lt;=0.1,$I128&lt;=0.2,$J128&lt;=0.3),"ok",TRIM(IF($H128&gt;0.1,"SPECIES ","")&amp;IF($I128&gt;0.2,"GENUS ","")&amp;IF($J128&gt;0.3,"FAMILY","")))))</f>
        <v/>
      </c>
    </row>
    <row r="129" customFormat="false" ht="15" hidden="false" customHeight="true" outlineLevel="0" collapsed="false">
      <c r="A129" s="43" t="str">
        <f aca="false">IF(Palette!$A101="","",Palette!$A101)</f>
        <v/>
      </c>
      <c r="B129" s="47" t="str">
        <f aca="false">IF($A129="","",Palette!$K101)</f>
        <v/>
      </c>
      <c r="C129" s="47" t="str">
        <f aca="false">IF($A129="","",Palette!$C101)</f>
        <v/>
      </c>
      <c r="D129" s="47" t="str">
        <f aca="false">IF($A129="","",Palette!$D101)</f>
        <v/>
      </c>
      <c r="E129" s="42" t="str">
        <f aca="false">IF($A129="","",SUMIF('Install Log'!$G$3:$G$202,$A129,'Install Log'!$J$3:$J$202))</f>
        <v/>
      </c>
      <c r="F129" s="42" t="str">
        <f aca="false">IF($A129="","",SUMIF('Install Log'!$G$3:$G$202,$A129,'Install Log'!$R$3:$R$202))</f>
        <v/>
      </c>
      <c r="G129" s="85" t="str">
        <f aca="false">IF(OR($A129="",N($E129)=0),"",IFERROR($F129/SUMIFS('Install Log'!$J$3:$J$202,'Install Log'!$G$3:$G$202,$A129,'Install Log'!$R$3:$R$202,"&lt;&gt;"),"—"))</f>
        <v/>
      </c>
      <c r="H129" s="88" t="str">
        <f aca="false">IF(OR($A129="",$B$6=0),"",$E129/$B$6)</f>
        <v/>
      </c>
      <c r="I129" s="88" t="str">
        <f aca="false">IF(OR($A129="",$B$6=0),"",SUMIF($C$30:$C$179,$C129,$E$30:$E$179)/$B$6)</f>
        <v/>
      </c>
      <c r="J129" s="88" t="str">
        <f aca="false">IF(OR($A129="",$B$6=0),"",SUMIF($D$30:$D$179,$D129,$E$30:$E$179)/$B$6)</f>
        <v/>
      </c>
      <c r="K129" s="47" t="str">
        <f aca="false">IF(OR($A129="",N($E129)=0),"",IF($B$6&lt;'Start Here'!$B$10,"too few plants",IF(AND($H129&lt;=0.1,$I129&lt;=0.2,$J129&lt;=0.3),"ok",TRIM(IF($H129&gt;0.1,"SPECIES ","")&amp;IF($I129&gt;0.2,"GENUS ","")&amp;IF($J129&gt;0.3,"FAMILY","")))))</f>
        <v/>
      </c>
    </row>
    <row r="130" customFormat="false" ht="15" hidden="false" customHeight="true" outlineLevel="0" collapsed="false">
      <c r="A130" s="43" t="str">
        <f aca="false">IF(Palette!$A102="","",Palette!$A102)</f>
        <v/>
      </c>
      <c r="B130" s="47" t="str">
        <f aca="false">IF($A130="","",Palette!$K102)</f>
        <v/>
      </c>
      <c r="C130" s="47" t="str">
        <f aca="false">IF($A130="","",Palette!$C102)</f>
        <v/>
      </c>
      <c r="D130" s="47" t="str">
        <f aca="false">IF($A130="","",Palette!$D102)</f>
        <v/>
      </c>
      <c r="E130" s="42" t="str">
        <f aca="false">IF($A130="","",SUMIF('Install Log'!$G$3:$G$202,$A130,'Install Log'!$J$3:$J$202))</f>
        <v/>
      </c>
      <c r="F130" s="42" t="str">
        <f aca="false">IF($A130="","",SUMIF('Install Log'!$G$3:$G$202,$A130,'Install Log'!$R$3:$R$202))</f>
        <v/>
      </c>
      <c r="G130" s="85" t="str">
        <f aca="false">IF(OR($A130="",N($E130)=0),"",IFERROR($F130/SUMIFS('Install Log'!$J$3:$J$202,'Install Log'!$G$3:$G$202,$A130,'Install Log'!$R$3:$R$202,"&lt;&gt;"),"—"))</f>
        <v/>
      </c>
      <c r="H130" s="88" t="str">
        <f aca="false">IF(OR($A130="",$B$6=0),"",$E130/$B$6)</f>
        <v/>
      </c>
      <c r="I130" s="88" t="str">
        <f aca="false">IF(OR($A130="",$B$6=0),"",SUMIF($C$30:$C$179,$C130,$E$30:$E$179)/$B$6)</f>
        <v/>
      </c>
      <c r="J130" s="88" t="str">
        <f aca="false">IF(OR($A130="",$B$6=0),"",SUMIF($D$30:$D$179,$D130,$E$30:$E$179)/$B$6)</f>
        <v/>
      </c>
      <c r="K130" s="47" t="str">
        <f aca="false">IF(OR($A130="",N($E130)=0),"",IF($B$6&lt;'Start Here'!$B$10,"too few plants",IF(AND($H130&lt;=0.1,$I130&lt;=0.2,$J130&lt;=0.3),"ok",TRIM(IF($H130&gt;0.1,"SPECIES ","")&amp;IF($I130&gt;0.2,"GENUS ","")&amp;IF($J130&gt;0.3,"FAMILY","")))))</f>
        <v/>
      </c>
    </row>
    <row r="131" customFormat="false" ht="15" hidden="false" customHeight="true" outlineLevel="0" collapsed="false">
      <c r="A131" s="43" t="str">
        <f aca="false">IF(Palette!$A103="","",Palette!$A103)</f>
        <v/>
      </c>
      <c r="B131" s="47" t="str">
        <f aca="false">IF($A131="","",Palette!$K103)</f>
        <v/>
      </c>
      <c r="C131" s="47" t="str">
        <f aca="false">IF($A131="","",Palette!$C103)</f>
        <v/>
      </c>
      <c r="D131" s="47" t="str">
        <f aca="false">IF($A131="","",Palette!$D103)</f>
        <v/>
      </c>
      <c r="E131" s="42" t="str">
        <f aca="false">IF($A131="","",SUMIF('Install Log'!$G$3:$G$202,$A131,'Install Log'!$J$3:$J$202))</f>
        <v/>
      </c>
      <c r="F131" s="42" t="str">
        <f aca="false">IF($A131="","",SUMIF('Install Log'!$G$3:$G$202,$A131,'Install Log'!$R$3:$R$202))</f>
        <v/>
      </c>
      <c r="G131" s="85" t="str">
        <f aca="false">IF(OR($A131="",N($E131)=0),"",IFERROR($F131/SUMIFS('Install Log'!$J$3:$J$202,'Install Log'!$G$3:$G$202,$A131,'Install Log'!$R$3:$R$202,"&lt;&gt;"),"—"))</f>
        <v/>
      </c>
      <c r="H131" s="88" t="str">
        <f aca="false">IF(OR($A131="",$B$6=0),"",$E131/$B$6)</f>
        <v/>
      </c>
      <c r="I131" s="88" t="str">
        <f aca="false">IF(OR($A131="",$B$6=0),"",SUMIF($C$30:$C$179,$C131,$E$30:$E$179)/$B$6)</f>
        <v/>
      </c>
      <c r="J131" s="88" t="str">
        <f aca="false">IF(OR($A131="",$B$6=0),"",SUMIF($D$30:$D$179,$D131,$E$30:$E$179)/$B$6)</f>
        <v/>
      </c>
      <c r="K131" s="47" t="str">
        <f aca="false">IF(OR($A131="",N($E131)=0),"",IF($B$6&lt;'Start Here'!$B$10,"too few plants",IF(AND($H131&lt;=0.1,$I131&lt;=0.2,$J131&lt;=0.3),"ok",TRIM(IF($H131&gt;0.1,"SPECIES ","")&amp;IF($I131&gt;0.2,"GENUS ","")&amp;IF($J131&gt;0.3,"FAMILY","")))))</f>
        <v/>
      </c>
    </row>
    <row r="132" customFormat="false" ht="15" hidden="false" customHeight="true" outlineLevel="0" collapsed="false">
      <c r="A132" s="43" t="str">
        <f aca="false">IF(Palette!$A104="","",Palette!$A104)</f>
        <v/>
      </c>
      <c r="B132" s="47" t="str">
        <f aca="false">IF($A132="","",Palette!$K104)</f>
        <v/>
      </c>
      <c r="C132" s="47" t="str">
        <f aca="false">IF($A132="","",Palette!$C104)</f>
        <v/>
      </c>
      <c r="D132" s="47" t="str">
        <f aca="false">IF($A132="","",Palette!$D104)</f>
        <v/>
      </c>
      <c r="E132" s="42" t="str">
        <f aca="false">IF($A132="","",SUMIF('Install Log'!$G$3:$G$202,$A132,'Install Log'!$J$3:$J$202))</f>
        <v/>
      </c>
      <c r="F132" s="42" t="str">
        <f aca="false">IF($A132="","",SUMIF('Install Log'!$G$3:$G$202,$A132,'Install Log'!$R$3:$R$202))</f>
        <v/>
      </c>
      <c r="G132" s="85" t="str">
        <f aca="false">IF(OR($A132="",N($E132)=0),"",IFERROR($F132/SUMIFS('Install Log'!$J$3:$J$202,'Install Log'!$G$3:$G$202,$A132,'Install Log'!$R$3:$R$202,"&lt;&gt;"),"—"))</f>
        <v/>
      </c>
      <c r="H132" s="88" t="str">
        <f aca="false">IF(OR($A132="",$B$6=0),"",$E132/$B$6)</f>
        <v/>
      </c>
      <c r="I132" s="88" t="str">
        <f aca="false">IF(OR($A132="",$B$6=0),"",SUMIF($C$30:$C$179,$C132,$E$30:$E$179)/$B$6)</f>
        <v/>
      </c>
      <c r="J132" s="88" t="str">
        <f aca="false">IF(OR($A132="",$B$6=0),"",SUMIF($D$30:$D$179,$D132,$E$30:$E$179)/$B$6)</f>
        <v/>
      </c>
      <c r="K132" s="47" t="str">
        <f aca="false">IF(OR($A132="",N($E132)=0),"",IF($B$6&lt;'Start Here'!$B$10,"too few plants",IF(AND($H132&lt;=0.1,$I132&lt;=0.2,$J132&lt;=0.3),"ok",TRIM(IF($H132&gt;0.1,"SPECIES ","")&amp;IF($I132&gt;0.2,"GENUS ","")&amp;IF($J132&gt;0.3,"FAMILY","")))))</f>
        <v/>
      </c>
    </row>
    <row r="133" customFormat="false" ht="15" hidden="false" customHeight="true" outlineLevel="0" collapsed="false">
      <c r="A133" s="43" t="str">
        <f aca="false">IF(Palette!$A105="","",Palette!$A105)</f>
        <v/>
      </c>
      <c r="B133" s="47" t="str">
        <f aca="false">IF($A133="","",Palette!$K105)</f>
        <v/>
      </c>
      <c r="C133" s="47" t="str">
        <f aca="false">IF($A133="","",Palette!$C105)</f>
        <v/>
      </c>
      <c r="D133" s="47" t="str">
        <f aca="false">IF($A133="","",Palette!$D105)</f>
        <v/>
      </c>
      <c r="E133" s="42" t="str">
        <f aca="false">IF($A133="","",SUMIF('Install Log'!$G$3:$G$202,$A133,'Install Log'!$J$3:$J$202))</f>
        <v/>
      </c>
      <c r="F133" s="42" t="str">
        <f aca="false">IF($A133="","",SUMIF('Install Log'!$G$3:$G$202,$A133,'Install Log'!$R$3:$R$202))</f>
        <v/>
      </c>
      <c r="G133" s="85" t="str">
        <f aca="false">IF(OR($A133="",N($E133)=0),"",IFERROR($F133/SUMIFS('Install Log'!$J$3:$J$202,'Install Log'!$G$3:$G$202,$A133,'Install Log'!$R$3:$R$202,"&lt;&gt;"),"—"))</f>
        <v/>
      </c>
      <c r="H133" s="88" t="str">
        <f aca="false">IF(OR($A133="",$B$6=0),"",$E133/$B$6)</f>
        <v/>
      </c>
      <c r="I133" s="88" t="str">
        <f aca="false">IF(OR($A133="",$B$6=0),"",SUMIF($C$30:$C$179,$C133,$E$30:$E$179)/$B$6)</f>
        <v/>
      </c>
      <c r="J133" s="88" t="str">
        <f aca="false">IF(OR($A133="",$B$6=0),"",SUMIF($D$30:$D$179,$D133,$E$30:$E$179)/$B$6)</f>
        <v/>
      </c>
      <c r="K133" s="47" t="str">
        <f aca="false">IF(OR($A133="",N($E133)=0),"",IF($B$6&lt;'Start Here'!$B$10,"too few plants",IF(AND($H133&lt;=0.1,$I133&lt;=0.2,$J133&lt;=0.3),"ok",TRIM(IF($H133&gt;0.1,"SPECIES ","")&amp;IF($I133&gt;0.2,"GENUS ","")&amp;IF($J133&gt;0.3,"FAMILY","")))))</f>
        <v/>
      </c>
    </row>
    <row r="134" customFormat="false" ht="15" hidden="false" customHeight="true" outlineLevel="0" collapsed="false">
      <c r="A134" s="43" t="str">
        <f aca="false">IF(Palette!$A106="","",Palette!$A106)</f>
        <v/>
      </c>
      <c r="B134" s="47" t="str">
        <f aca="false">IF($A134="","",Palette!$K106)</f>
        <v/>
      </c>
      <c r="C134" s="47" t="str">
        <f aca="false">IF($A134="","",Palette!$C106)</f>
        <v/>
      </c>
      <c r="D134" s="47" t="str">
        <f aca="false">IF($A134="","",Palette!$D106)</f>
        <v/>
      </c>
      <c r="E134" s="42" t="str">
        <f aca="false">IF($A134="","",SUMIF('Install Log'!$G$3:$G$202,$A134,'Install Log'!$J$3:$J$202))</f>
        <v/>
      </c>
      <c r="F134" s="42" t="str">
        <f aca="false">IF($A134="","",SUMIF('Install Log'!$G$3:$G$202,$A134,'Install Log'!$R$3:$R$202))</f>
        <v/>
      </c>
      <c r="G134" s="85" t="str">
        <f aca="false">IF(OR($A134="",N($E134)=0),"",IFERROR($F134/SUMIFS('Install Log'!$J$3:$J$202,'Install Log'!$G$3:$G$202,$A134,'Install Log'!$R$3:$R$202,"&lt;&gt;"),"—"))</f>
        <v/>
      </c>
      <c r="H134" s="88" t="str">
        <f aca="false">IF(OR($A134="",$B$6=0),"",$E134/$B$6)</f>
        <v/>
      </c>
      <c r="I134" s="88" t="str">
        <f aca="false">IF(OR($A134="",$B$6=0),"",SUMIF($C$30:$C$179,$C134,$E$30:$E$179)/$B$6)</f>
        <v/>
      </c>
      <c r="J134" s="88" t="str">
        <f aca="false">IF(OR($A134="",$B$6=0),"",SUMIF($D$30:$D$179,$D134,$E$30:$E$179)/$B$6)</f>
        <v/>
      </c>
      <c r="K134" s="47" t="str">
        <f aca="false">IF(OR($A134="",N($E134)=0),"",IF($B$6&lt;'Start Here'!$B$10,"too few plants",IF(AND($H134&lt;=0.1,$I134&lt;=0.2,$J134&lt;=0.3),"ok",TRIM(IF($H134&gt;0.1,"SPECIES ","")&amp;IF($I134&gt;0.2,"GENUS ","")&amp;IF($J134&gt;0.3,"FAMILY","")))))</f>
        <v/>
      </c>
    </row>
    <row r="135" customFormat="false" ht="15" hidden="false" customHeight="true" outlineLevel="0" collapsed="false">
      <c r="A135" s="43" t="str">
        <f aca="false">IF(Palette!$A107="","",Palette!$A107)</f>
        <v/>
      </c>
      <c r="B135" s="47" t="str">
        <f aca="false">IF($A135="","",Palette!$K107)</f>
        <v/>
      </c>
      <c r="C135" s="47" t="str">
        <f aca="false">IF($A135="","",Palette!$C107)</f>
        <v/>
      </c>
      <c r="D135" s="47" t="str">
        <f aca="false">IF($A135="","",Palette!$D107)</f>
        <v/>
      </c>
      <c r="E135" s="42" t="str">
        <f aca="false">IF($A135="","",SUMIF('Install Log'!$G$3:$G$202,$A135,'Install Log'!$J$3:$J$202))</f>
        <v/>
      </c>
      <c r="F135" s="42" t="str">
        <f aca="false">IF($A135="","",SUMIF('Install Log'!$G$3:$G$202,$A135,'Install Log'!$R$3:$R$202))</f>
        <v/>
      </c>
      <c r="G135" s="85" t="str">
        <f aca="false">IF(OR($A135="",N($E135)=0),"",IFERROR($F135/SUMIFS('Install Log'!$J$3:$J$202,'Install Log'!$G$3:$G$202,$A135,'Install Log'!$R$3:$R$202,"&lt;&gt;"),"—"))</f>
        <v/>
      </c>
      <c r="H135" s="88" t="str">
        <f aca="false">IF(OR($A135="",$B$6=0),"",$E135/$B$6)</f>
        <v/>
      </c>
      <c r="I135" s="88" t="str">
        <f aca="false">IF(OR($A135="",$B$6=0),"",SUMIF($C$30:$C$179,$C135,$E$30:$E$179)/$B$6)</f>
        <v/>
      </c>
      <c r="J135" s="88" t="str">
        <f aca="false">IF(OR($A135="",$B$6=0),"",SUMIF($D$30:$D$179,$D135,$E$30:$E$179)/$B$6)</f>
        <v/>
      </c>
      <c r="K135" s="47" t="str">
        <f aca="false">IF(OR($A135="",N($E135)=0),"",IF($B$6&lt;'Start Here'!$B$10,"too few plants",IF(AND($H135&lt;=0.1,$I135&lt;=0.2,$J135&lt;=0.3),"ok",TRIM(IF($H135&gt;0.1,"SPECIES ","")&amp;IF($I135&gt;0.2,"GENUS ","")&amp;IF($J135&gt;0.3,"FAMILY","")))))</f>
        <v/>
      </c>
    </row>
    <row r="136" customFormat="false" ht="15" hidden="false" customHeight="true" outlineLevel="0" collapsed="false">
      <c r="A136" s="43" t="str">
        <f aca="false">IF(Palette!$A108="","",Palette!$A108)</f>
        <v/>
      </c>
      <c r="B136" s="47" t="str">
        <f aca="false">IF($A136="","",Palette!$K108)</f>
        <v/>
      </c>
      <c r="C136" s="47" t="str">
        <f aca="false">IF($A136="","",Palette!$C108)</f>
        <v/>
      </c>
      <c r="D136" s="47" t="str">
        <f aca="false">IF($A136="","",Palette!$D108)</f>
        <v/>
      </c>
      <c r="E136" s="42" t="str">
        <f aca="false">IF($A136="","",SUMIF('Install Log'!$G$3:$G$202,$A136,'Install Log'!$J$3:$J$202))</f>
        <v/>
      </c>
      <c r="F136" s="42" t="str">
        <f aca="false">IF($A136="","",SUMIF('Install Log'!$G$3:$G$202,$A136,'Install Log'!$R$3:$R$202))</f>
        <v/>
      </c>
      <c r="G136" s="85" t="str">
        <f aca="false">IF(OR($A136="",N($E136)=0),"",IFERROR($F136/SUMIFS('Install Log'!$J$3:$J$202,'Install Log'!$G$3:$G$202,$A136,'Install Log'!$R$3:$R$202,"&lt;&gt;"),"—"))</f>
        <v/>
      </c>
      <c r="H136" s="88" t="str">
        <f aca="false">IF(OR($A136="",$B$6=0),"",$E136/$B$6)</f>
        <v/>
      </c>
      <c r="I136" s="88" t="str">
        <f aca="false">IF(OR($A136="",$B$6=0),"",SUMIF($C$30:$C$179,$C136,$E$30:$E$179)/$B$6)</f>
        <v/>
      </c>
      <c r="J136" s="88" t="str">
        <f aca="false">IF(OR($A136="",$B$6=0),"",SUMIF($D$30:$D$179,$D136,$E$30:$E$179)/$B$6)</f>
        <v/>
      </c>
      <c r="K136" s="47" t="str">
        <f aca="false">IF(OR($A136="",N($E136)=0),"",IF($B$6&lt;'Start Here'!$B$10,"too few plants",IF(AND($H136&lt;=0.1,$I136&lt;=0.2,$J136&lt;=0.3),"ok",TRIM(IF($H136&gt;0.1,"SPECIES ","")&amp;IF($I136&gt;0.2,"GENUS ","")&amp;IF($J136&gt;0.3,"FAMILY","")))))</f>
        <v/>
      </c>
    </row>
    <row r="137" customFormat="false" ht="15" hidden="false" customHeight="true" outlineLevel="0" collapsed="false">
      <c r="A137" s="43" t="str">
        <f aca="false">IF(Palette!$A109="","",Palette!$A109)</f>
        <v/>
      </c>
      <c r="B137" s="47" t="str">
        <f aca="false">IF($A137="","",Palette!$K109)</f>
        <v/>
      </c>
      <c r="C137" s="47" t="str">
        <f aca="false">IF($A137="","",Palette!$C109)</f>
        <v/>
      </c>
      <c r="D137" s="47" t="str">
        <f aca="false">IF($A137="","",Palette!$D109)</f>
        <v/>
      </c>
      <c r="E137" s="42" t="str">
        <f aca="false">IF($A137="","",SUMIF('Install Log'!$G$3:$G$202,$A137,'Install Log'!$J$3:$J$202))</f>
        <v/>
      </c>
      <c r="F137" s="42" t="str">
        <f aca="false">IF($A137="","",SUMIF('Install Log'!$G$3:$G$202,$A137,'Install Log'!$R$3:$R$202))</f>
        <v/>
      </c>
      <c r="G137" s="85" t="str">
        <f aca="false">IF(OR($A137="",N($E137)=0),"",IFERROR($F137/SUMIFS('Install Log'!$J$3:$J$202,'Install Log'!$G$3:$G$202,$A137,'Install Log'!$R$3:$R$202,"&lt;&gt;"),"—"))</f>
        <v/>
      </c>
      <c r="H137" s="88" t="str">
        <f aca="false">IF(OR($A137="",$B$6=0),"",$E137/$B$6)</f>
        <v/>
      </c>
      <c r="I137" s="88" t="str">
        <f aca="false">IF(OR($A137="",$B$6=0),"",SUMIF($C$30:$C$179,$C137,$E$30:$E$179)/$B$6)</f>
        <v/>
      </c>
      <c r="J137" s="88" t="str">
        <f aca="false">IF(OR($A137="",$B$6=0),"",SUMIF($D$30:$D$179,$D137,$E$30:$E$179)/$B$6)</f>
        <v/>
      </c>
      <c r="K137" s="47" t="str">
        <f aca="false">IF(OR($A137="",N($E137)=0),"",IF($B$6&lt;'Start Here'!$B$10,"too few plants",IF(AND($H137&lt;=0.1,$I137&lt;=0.2,$J137&lt;=0.3),"ok",TRIM(IF($H137&gt;0.1,"SPECIES ","")&amp;IF($I137&gt;0.2,"GENUS ","")&amp;IF($J137&gt;0.3,"FAMILY","")))))</f>
        <v/>
      </c>
    </row>
    <row r="138" customFormat="false" ht="15" hidden="false" customHeight="true" outlineLevel="0" collapsed="false">
      <c r="A138" s="43" t="str">
        <f aca="false">IF(Palette!$A110="","",Palette!$A110)</f>
        <v/>
      </c>
      <c r="B138" s="47" t="str">
        <f aca="false">IF($A138="","",Palette!$K110)</f>
        <v/>
      </c>
      <c r="C138" s="47" t="str">
        <f aca="false">IF($A138="","",Palette!$C110)</f>
        <v/>
      </c>
      <c r="D138" s="47" t="str">
        <f aca="false">IF($A138="","",Palette!$D110)</f>
        <v/>
      </c>
      <c r="E138" s="42" t="str">
        <f aca="false">IF($A138="","",SUMIF('Install Log'!$G$3:$G$202,$A138,'Install Log'!$J$3:$J$202))</f>
        <v/>
      </c>
      <c r="F138" s="42" t="str">
        <f aca="false">IF($A138="","",SUMIF('Install Log'!$G$3:$G$202,$A138,'Install Log'!$R$3:$R$202))</f>
        <v/>
      </c>
      <c r="G138" s="85" t="str">
        <f aca="false">IF(OR($A138="",N($E138)=0),"",IFERROR($F138/SUMIFS('Install Log'!$J$3:$J$202,'Install Log'!$G$3:$G$202,$A138,'Install Log'!$R$3:$R$202,"&lt;&gt;"),"—"))</f>
        <v/>
      </c>
      <c r="H138" s="88" t="str">
        <f aca="false">IF(OR($A138="",$B$6=0),"",$E138/$B$6)</f>
        <v/>
      </c>
      <c r="I138" s="88" t="str">
        <f aca="false">IF(OR($A138="",$B$6=0),"",SUMIF($C$30:$C$179,$C138,$E$30:$E$179)/$B$6)</f>
        <v/>
      </c>
      <c r="J138" s="88" t="str">
        <f aca="false">IF(OR($A138="",$B$6=0),"",SUMIF($D$30:$D$179,$D138,$E$30:$E$179)/$B$6)</f>
        <v/>
      </c>
      <c r="K138" s="47" t="str">
        <f aca="false">IF(OR($A138="",N($E138)=0),"",IF($B$6&lt;'Start Here'!$B$10,"too few plants",IF(AND($H138&lt;=0.1,$I138&lt;=0.2,$J138&lt;=0.3),"ok",TRIM(IF($H138&gt;0.1,"SPECIES ","")&amp;IF($I138&gt;0.2,"GENUS ","")&amp;IF($J138&gt;0.3,"FAMILY","")))))</f>
        <v/>
      </c>
    </row>
    <row r="139" customFormat="false" ht="15" hidden="false" customHeight="true" outlineLevel="0" collapsed="false">
      <c r="A139" s="43" t="str">
        <f aca="false">IF(Palette!$A111="","",Palette!$A111)</f>
        <v/>
      </c>
      <c r="B139" s="47" t="str">
        <f aca="false">IF($A139="","",Palette!$K111)</f>
        <v/>
      </c>
      <c r="C139" s="47" t="str">
        <f aca="false">IF($A139="","",Palette!$C111)</f>
        <v/>
      </c>
      <c r="D139" s="47" t="str">
        <f aca="false">IF($A139="","",Palette!$D111)</f>
        <v/>
      </c>
      <c r="E139" s="42" t="str">
        <f aca="false">IF($A139="","",SUMIF('Install Log'!$G$3:$G$202,$A139,'Install Log'!$J$3:$J$202))</f>
        <v/>
      </c>
      <c r="F139" s="42" t="str">
        <f aca="false">IF($A139="","",SUMIF('Install Log'!$G$3:$G$202,$A139,'Install Log'!$R$3:$R$202))</f>
        <v/>
      </c>
      <c r="G139" s="85" t="str">
        <f aca="false">IF(OR($A139="",N($E139)=0),"",IFERROR($F139/SUMIFS('Install Log'!$J$3:$J$202,'Install Log'!$G$3:$G$202,$A139,'Install Log'!$R$3:$R$202,"&lt;&gt;"),"—"))</f>
        <v/>
      </c>
      <c r="H139" s="88" t="str">
        <f aca="false">IF(OR($A139="",$B$6=0),"",$E139/$B$6)</f>
        <v/>
      </c>
      <c r="I139" s="88" t="str">
        <f aca="false">IF(OR($A139="",$B$6=0),"",SUMIF($C$30:$C$179,$C139,$E$30:$E$179)/$B$6)</f>
        <v/>
      </c>
      <c r="J139" s="88" t="str">
        <f aca="false">IF(OR($A139="",$B$6=0),"",SUMIF($D$30:$D$179,$D139,$E$30:$E$179)/$B$6)</f>
        <v/>
      </c>
      <c r="K139" s="47" t="str">
        <f aca="false">IF(OR($A139="",N($E139)=0),"",IF($B$6&lt;'Start Here'!$B$10,"too few plants",IF(AND($H139&lt;=0.1,$I139&lt;=0.2,$J139&lt;=0.3),"ok",TRIM(IF($H139&gt;0.1,"SPECIES ","")&amp;IF($I139&gt;0.2,"GENUS ","")&amp;IF($J139&gt;0.3,"FAMILY","")))))</f>
        <v/>
      </c>
    </row>
    <row r="140" customFormat="false" ht="15" hidden="false" customHeight="true" outlineLevel="0" collapsed="false">
      <c r="A140" s="43" t="str">
        <f aca="false">IF(Palette!$A112="","",Palette!$A112)</f>
        <v/>
      </c>
      <c r="B140" s="47" t="str">
        <f aca="false">IF($A140="","",Palette!$K112)</f>
        <v/>
      </c>
      <c r="C140" s="47" t="str">
        <f aca="false">IF($A140="","",Palette!$C112)</f>
        <v/>
      </c>
      <c r="D140" s="47" t="str">
        <f aca="false">IF($A140="","",Palette!$D112)</f>
        <v/>
      </c>
      <c r="E140" s="42" t="str">
        <f aca="false">IF($A140="","",SUMIF('Install Log'!$G$3:$G$202,$A140,'Install Log'!$J$3:$J$202))</f>
        <v/>
      </c>
      <c r="F140" s="42" t="str">
        <f aca="false">IF($A140="","",SUMIF('Install Log'!$G$3:$G$202,$A140,'Install Log'!$R$3:$R$202))</f>
        <v/>
      </c>
      <c r="G140" s="85" t="str">
        <f aca="false">IF(OR($A140="",N($E140)=0),"",IFERROR($F140/SUMIFS('Install Log'!$J$3:$J$202,'Install Log'!$G$3:$G$202,$A140,'Install Log'!$R$3:$R$202,"&lt;&gt;"),"—"))</f>
        <v/>
      </c>
      <c r="H140" s="88" t="str">
        <f aca="false">IF(OR($A140="",$B$6=0),"",$E140/$B$6)</f>
        <v/>
      </c>
      <c r="I140" s="88" t="str">
        <f aca="false">IF(OR($A140="",$B$6=0),"",SUMIF($C$30:$C$179,$C140,$E$30:$E$179)/$B$6)</f>
        <v/>
      </c>
      <c r="J140" s="88" t="str">
        <f aca="false">IF(OR($A140="",$B$6=0),"",SUMIF($D$30:$D$179,$D140,$E$30:$E$179)/$B$6)</f>
        <v/>
      </c>
      <c r="K140" s="47" t="str">
        <f aca="false">IF(OR($A140="",N($E140)=0),"",IF($B$6&lt;'Start Here'!$B$10,"too few plants",IF(AND($H140&lt;=0.1,$I140&lt;=0.2,$J140&lt;=0.3),"ok",TRIM(IF($H140&gt;0.1,"SPECIES ","")&amp;IF($I140&gt;0.2,"GENUS ","")&amp;IF($J140&gt;0.3,"FAMILY","")))))</f>
        <v/>
      </c>
    </row>
    <row r="141" customFormat="false" ht="15" hidden="false" customHeight="true" outlineLevel="0" collapsed="false">
      <c r="A141" s="43" t="str">
        <f aca="false">IF(Palette!$A113="","",Palette!$A113)</f>
        <v/>
      </c>
      <c r="B141" s="47" t="str">
        <f aca="false">IF($A141="","",Palette!$K113)</f>
        <v/>
      </c>
      <c r="C141" s="47" t="str">
        <f aca="false">IF($A141="","",Palette!$C113)</f>
        <v/>
      </c>
      <c r="D141" s="47" t="str">
        <f aca="false">IF($A141="","",Palette!$D113)</f>
        <v/>
      </c>
      <c r="E141" s="42" t="str">
        <f aca="false">IF($A141="","",SUMIF('Install Log'!$G$3:$G$202,$A141,'Install Log'!$J$3:$J$202))</f>
        <v/>
      </c>
      <c r="F141" s="42" t="str">
        <f aca="false">IF($A141="","",SUMIF('Install Log'!$G$3:$G$202,$A141,'Install Log'!$R$3:$R$202))</f>
        <v/>
      </c>
      <c r="G141" s="85" t="str">
        <f aca="false">IF(OR($A141="",N($E141)=0),"",IFERROR($F141/SUMIFS('Install Log'!$J$3:$J$202,'Install Log'!$G$3:$G$202,$A141,'Install Log'!$R$3:$R$202,"&lt;&gt;"),"—"))</f>
        <v/>
      </c>
      <c r="H141" s="88" t="str">
        <f aca="false">IF(OR($A141="",$B$6=0),"",$E141/$B$6)</f>
        <v/>
      </c>
      <c r="I141" s="88" t="str">
        <f aca="false">IF(OR($A141="",$B$6=0),"",SUMIF($C$30:$C$179,$C141,$E$30:$E$179)/$B$6)</f>
        <v/>
      </c>
      <c r="J141" s="88" t="str">
        <f aca="false">IF(OR($A141="",$B$6=0),"",SUMIF($D$30:$D$179,$D141,$E$30:$E$179)/$B$6)</f>
        <v/>
      </c>
      <c r="K141" s="47" t="str">
        <f aca="false">IF(OR($A141="",N($E141)=0),"",IF($B$6&lt;'Start Here'!$B$10,"too few plants",IF(AND($H141&lt;=0.1,$I141&lt;=0.2,$J141&lt;=0.3),"ok",TRIM(IF($H141&gt;0.1,"SPECIES ","")&amp;IF($I141&gt;0.2,"GENUS ","")&amp;IF($J141&gt;0.3,"FAMILY","")))))</f>
        <v/>
      </c>
    </row>
    <row r="142" customFormat="false" ht="15" hidden="false" customHeight="true" outlineLevel="0" collapsed="false">
      <c r="A142" s="43" t="str">
        <f aca="false">IF(Palette!$A114="","",Palette!$A114)</f>
        <v/>
      </c>
      <c r="B142" s="47" t="str">
        <f aca="false">IF($A142="","",Palette!$K114)</f>
        <v/>
      </c>
      <c r="C142" s="47" t="str">
        <f aca="false">IF($A142="","",Palette!$C114)</f>
        <v/>
      </c>
      <c r="D142" s="47" t="str">
        <f aca="false">IF($A142="","",Palette!$D114)</f>
        <v/>
      </c>
      <c r="E142" s="42" t="str">
        <f aca="false">IF($A142="","",SUMIF('Install Log'!$G$3:$G$202,$A142,'Install Log'!$J$3:$J$202))</f>
        <v/>
      </c>
      <c r="F142" s="42" t="str">
        <f aca="false">IF($A142="","",SUMIF('Install Log'!$G$3:$G$202,$A142,'Install Log'!$R$3:$R$202))</f>
        <v/>
      </c>
      <c r="G142" s="85" t="str">
        <f aca="false">IF(OR($A142="",N($E142)=0),"",IFERROR($F142/SUMIFS('Install Log'!$J$3:$J$202,'Install Log'!$G$3:$G$202,$A142,'Install Log'!$R$3:$R$202,"&lt;&gt;"),"—"))</f>
        <v/>
      </c>
      <c r="H142" s="88" t="str">
        <f aca="false">IF(OR($A142="",$B$6=0),"",$E142/$B$6)</f>
        <v/>
      </c>
      <c r="I142" s="88" t="str">
        <f aca="false">IF(OR($A142="",$B$6=0),"",SUMIF($C$30:$C$179,$C142,$E$30:$E$179)/$B$6)</f>
        <v/>
      </c>
      <c r="J142" s="88" t="str">
        <f aca="false">IF(OR($A142="",$B$6=0),"",SUMIF($D$30:$D$179,$D142,$E$30:$E$179)/$B$6)</f>
        <v/>
      </c>
      <c r="K142" s="47" t="str">
        <f aca="false">IF(OR($A142="",N($E142)=0),"",IF($B$6&lt;'Start Here'!$B$10,"too few plants",IF(AND($H142&lt;=0.1,$I142&lt;=0.2,$J142&lt;=0.3),"ok",TRIM(IF($H142&gt;0.1,"SPECIES ","")&amp;IF($I142&gt;0.2,"GENUS ","")&amp;IF($J142&gt;0.3,"FAMILY","")))))</f>
        <v/>
      </c>
    </row>
    <row r="143" customFormat="false" ht="15" hidden="false" customHeight="true" outlineLevel="0" collapsed="false">
      <c r="A143" s="43" t="str">
        <f aca="false">IF(Palette!$A115="","",Palette!$A115)</f>
        <v/>
      </c>
      <c r="B143" s="47" t="str">
        <f aca="false">IF($A143="","",Palette!$K115)</f>
        <v/>
      </c>
      <c r="C143" s="47" t="str">
        <f aca="false">IF($A143="","",Palette!$C115)</f>
        <v/>
      </c>
      <c r="D143" s="47" t="str">
        <f aca="false">IF($A143="","",Palette!$D115)</f>
        <v/>
      </c>
      <c r="E143" s="42" t="str">
        <f aca="false">IF($A143="","",SUMIF('Install Log'!$G$3:$G$202,$A143,'Install Log'!$J$3:$J$202))</f>
        <v/>
      </c>
      <c r="F143" s="42" t="str">
        <f aca="false">IF($A143="","",SUMIF('Install Log'!$G$3:$G$202,$A143,'Install Log'!$R$3:$R$202))</f>
        <v/>
      </c>
      <c r="G143" s="85" t="str">
        <f aca="false">IF(OR($A143="",N($E143)=0),"",IFERROR($F143/SUMIFS('Install Log'!$J$3:$J$202,'Install Log'!$G$3:$G$202,$A143,'Install Log'!$R$3:$R$202,"&lt;&gt;"),"—"))</f>
        <v/>
      </c>
      <c r="H143" s="88" t="str">
        <f aca="false">IF(OR($A143="",$B$6=0),"",$E143/$B$6)</f>
        <v/>
      </c>
      <c r="I143" s="88" t="str">
        <f aca="false">IF(OR($A143="",$B$6=0),"",SUMIF($C$30:$C$179,$C143,$E$30:$E$179)/$B$6)</f>
        <v/>
      </c>
      <c r="J143" s="88" t="str">
        <f aca="false">IF(OR($A143="",$B$6=0),"",SUMIF($D$30:$D$179,$D143,$E$30:$E$179)/$B$6)</f>
        <v/>
      </c>
      <c r="K143" s="47" t="str">
        <f aca="false">IF(OR($A143="",N($E143)=0),"",IF($B$6&lt;'Start Here'!$B$10,"too few plants",IF(AND($H143&lt;=0.1,$I143&lt;=0.2,$J143&lt;=0.3),"ok",TRIM(IF($H143&gt;0.1,"SPECIES ","")&amp;IF($I143&gt;0.2,"GENUS ","")&amp;IF($J143&gt;0.3,"FAMILY","")))))</f>
        <v/>
      </c>
    </row>
    <row r="144" customFormat="false" ht="15" hidden="false" customHeight="true" outlineLevel="0" collapsed="false">
      <c r="A144" s="43" t="str">
        <f aca="false">IF(Palette!$A116="","",Palette!$A116)</f>
        <v/>
      </c>
      <c r="B144" s="47" t="str">
        <f aca="false">IF($A144="","",Palette!$K116)</f>
        <v/>
      </c>
      <c r="C144" s="47" t="str">
        <f aca="false">IF($A144="","",Palette!$C116)</f>
        <v/>
      </c>
      <c r="D144" s="47" t="str">
        <f aca="false">IF($A144="","",Palette!$D116)</f>
        <v/>
      </c>
      <c r="E144" s="42" t="str">
        <f aca="false">IF($A144="","",SUMIF('Install Log'!$G$3:$G$202,$A144,'Install Log'!$J$3:$J$202))</f>
        <v/>
      </c>
      <c r="F144" s="42" t="str">
        <f aca="false">IF($A144="","",SUMIF('Install Log'!$G$3:$G$202,$A144,'Install Log'!$R$3:$R$202))</f>
        <v/>
      </c>
      <c r="G144" s="85" t="str">
        <f aca="false">IF(OR($A144="",N($E144)=0),"",IFERROR($F144/SUMIFS('Install Log'!$J$3:$J$202,'Install Log'!$G$3:$G$202,$A144,'Install Log'!$R$3:$R$202,"&lt;&gt;"),"—"))</f>
        <v/>
      </c>
      <c r="H144" s="88" t="str">
        <f aca="false">IF(OR($A144="",$B$6=0),"",$E144/$B$6)</f>
        <v/>
      </c>
      <c r="I144" s="88" t="str">
        <f aca="false">IF(OR($A144="",$B$6=0),"",SUMIF($C$30:$C$179,$C144,$E$30:$E$179)/$B$6)</f>
        <v/>
      </c>
      <c r="J144" s="88" t="str">
        <f aca="false">IF(OR($A144="",$B$6=0),"",SUMIF($D$30:$D$179,$D144,$E$30:$E$179)/$B$6)</f>
        <v/>
      </c>
      <c r="K144" s="47" t="str">
        <f aca="false">IF(OR($A144="",N($E144)=0),"",IF($B$6&lt;'Start Here'!$B$10,"too few plants",IF(AND($H144&lt;=0.1,$I144&lt;=0.2,$J144&lt;=0.3),"ok",TRIM(IF($H144&gt;0.1,"SPECIES ","")&amp;IF($I144&gt;0.2,"GENUS ","")&amp;IF($J144&gt;0.3,"FAMILY","")))))</f>
        <v/>
      </c>
    </row>
    <row r="145" customFormat="false" ht="15" hidden="false" customHeight="true" outlineLevel="0" collapsed="false">
      <c r="A145" s="43" t="str">
        <f aca="false">IF(Palette!$A117="","",Palette!$A117)</f>
        <v/>
      </c>
      <c r="B145" s="47" t="str">
        <f aca="false">IF($A145="","",Palette!$K117)</f>
        <v/>
      </c>
      <c r="C145" s="47" t="str">
        <f aca="false">IF($A145="","",Palette!$C117)</f>
        <v/>
      </c>
      <c r="D145" s="47" t="str">
        <f aca="false">IF($A145="","",Palette!$D117)</f>
        <v/>
      </c>
      <c r="E145" s="42" t="str">
        <f aca="false">IF($A145="","",SUMIF('Install Log'!$G$3:$G$202,$A145,'Install Log'!$J$3:$J$202))</f>
        <v/>
      </c>
      <c r="F145" s="42" t="str">
        <f aca="false">IF($A145="","",SUMIF('Install Log'!$G$3:$G$202,$A145,'Install Log'!$R$3:$R$202))</f>
        <v/>
      </c>
      <c r="G145" s="85" t="str">
        <f aca="false">IF(OR($A145="",N($E145)=0),"",IFERROR($F145/SUMIFS('Install Log'!$J$3:$J$202,'Install Log'!$G$3:$G$202,$A145,'Install Log'!$R$3:$R$202,"&lt;&gt;"),"—"))</f>
        <v/>
      </c>
      <c r="H145" s="88" t="str">
        <f aca="false">IF(OR($A145="",$B$6=0),"",$E145/$B$6)</f>
        <v/>
      </c>
      <c r="I145" s="88" t="str">
        <f aca="false">IF(OR($A145="",$B$6=0),"",SUMIF($C$30:$C$179,$C145,$E$30:$E$179)/$B$6)</f>
        <v/>
      </c>
      <c r="J145" s="88" t="str">
        <f aca="false">IF(OR($A145="",$B$6=0),"",SUMIF($D$30:$D$179,$D145,$E$30:$E$179)/$B$6)</f>
        <v/>
      </c>
      <c r="K145" s="47" t="str">
        <f aca="false">IF(OR($A145="",N($E145)=0),"",IF($B$6&lt;'Start Here'!$B$10,"too few plants",IF(AND($H145&lt;=0.1,$I145&lt;=0.2,$J145&lt;=0.3),"ok",TRIM(IF($H145&gt;0.1,"SPECIES ","")&amp;IF($I145&gt;0.2,"GENUS ","")&amp;IF($J145&gt;0.3,"FAMILY","")))))</f>
        <v/>
      </c>
    </row>
    <row r="146" customFormat="false" ht="15" hidden="false" customHeight="true" outlineLevel="0" collapsed="false">
      <c r="A146" s="43" t="str">
        <f aca="false">IF(Palette!$A118="","",Palette!$A118)</f>
        <v/>
      </c>
      <c r="B146" s="47" t="str">
        <f aca="false">IF($A146="","",Palette!$K118)</f>
        <v/>
      </c>
      <c r="C146" s="47" t="str">
        <f aca="false">IF($A146="","",Palette!$C118)</f>
        <v/>
      </c>
      <c r="D146" s="47" t="str">
        <f aca="false">IF($A146="","",Palette!$D118)</f>
        <v/>
      </c>
      <c r="E146" s="42" t="str">
        <f aca="false">IF($A146="","",SUMIF('Install Log'!$G$3:$G$202,$A146,'Install Log'!$J$3:$J$202))</f>
        <v/>
      </c>
      <c r="F146" s="42" t="str">
        <f aca="false">IF($A146="","",SUMIF('Install Log'!$G$3:$G$202,$A146,'Install Log'!$R$3:$R$202))</f>
        <v/>
      </c>
      <c r="G146" s="85" t="str">
        <f aca="false">IF(OR($A146="",N($E146)=0),"",IFERROR($F146/SUMIFS('Install Log'!$J$3:$J$202,'Install Log'!$G$3:$G$202,$A146,'Install Log'!$R$3:$R$202,"&lt;&gt;"),"—"))</f>
        <v/>
      </c>
      <c r="H146" s="88" t="str">
        <f aca="false">IF(OR($A146="",$B$6=0),"",$E146/$B$6)</f>
        <v/>
      </c>
      <c r="I146" s="88" t="str">
        <f aca="false">IF(OR($A146="",$B$6=0),"",SUMIF($C$30:$C$179,$C146,$E$30:$E$179)/$B$6)</f>
        <v/>
      </c>
      <c r="J146" s="88" t="str">
        <f aca="false">IF(OR($A146="",$B$6=0),"",SUMIF($D$30:$D$179,$D146,$E$30:$E$179)/$B$6)</f>
        <v/>
      </c>
      <c r="K146" s="47" t="str">
        <f aca="false">IF(OR($A146="",N($E146)=0),"",IF($B$6&lt;'Start Here'!$B$10,"too few plants",IF(AND($H146&lt;=0.1,$I146&lt;=0.2,$J146&lt;=0.3),"ok",TRIM(IF($H146&gt;0.1,"SPECIES ","")&amp;IF($I146&gt;0.2,"GENUS ","")&amp;IF($J146&gt;0.3,"FAMILY","")))))</f>
        <v/>
      </c>
    </row>
    <row r="147" customFormat="false" ht="15" hidden="false" customHeight="true" outlineLevel="0" collapsed="false">
      <c r="A147" s="43" t="str">
        <f aca="false">IF(Palette!$A119="","",Palette!$A119)</f>
        <v/>
      </c>
      <c r="B147" s="47" t="str">
        <f aca="false">IF($A147="","",Palette!$K119)</f>
        <v/>
      </c>
      <c r="C147" s="47" t="str">
        <f aca="false">IF($A147="","",Palette!$C119)</f>
        <v/>
      </c>
      <c r="D147" s="47" t="str">
        <f aca="false">IF($A147="","",Palette!$D119)</f>
        <v/>
      </c>
      <c r="E147" s="42" t="str">
        <f aca="false">IF($A147="","",SUMIF('Install Log'!$G$3:$G$202,$A147,'Install Log'!$J$3:$J$202))</f>
        <v/>
      </c>
      <c r="F147" s="42" t="str">
        <f aca="false">IF($A147="","",SUMIF('Install Log'!$G$3:$G$202,$A147,'Install Log'!$R$3:$R$202))</f>
        <v/>
      </c>
      <c r="G147" s="85" t="str">
        <f aca="false">IF(OR($A147="",N($E147)=0),"",IFERROR($F147/SUMIFS('Install Log'!$J$3:$J$202,'Install Log'!$G$3:$G$202,$A147,'Install Log'!$R$3:$R$202,"&lt;&gt;"),"—"))</f>
        <v/>
      </c>
      <c r="H147" s="88" t="str">
        <f aca="false">IF(OR($A147="",$B$6=0),"",$E147/$B$6)</f>
        <v/>
      </c>
      <c r="I147" s="88" t="str">
        <f aca="false">IF(OR($A147="",$B$6=0),"",SUMIF($C$30:$C$179,$C147,$E$30:$E$179)/$B$6)</f>
        <v/>
      </c>
      <c r="J147" s="88" t="str">
        <f aca="false">IF(OR($A147="",$B$6=0),"",SUMIF($D$30:$D$179,$D147,$E$30:$E$179)/$B$6)</f>
        <v/>
      </c>
      <c r="K147" s="47" t="str">
        <f aca="false">IF(OR($A147="",N($E147)=0),"",IF($B$6&lt;'Start Here'!$B$10,"too few plants",IF(AND($H147&lt;=0.1,$I147&lt;=0.2,$J147&lt;=0.3),"ok",TRIM(IF($H147&gt;0.1,"SPECIES ","")&amp;IF($I147&gt;0.2,"GENUS ","")&amp;IF($J147&gt;0.3,"FAMILY","")))))</f>
        <v/>
      </c>
    </row>
    <row r="148" customFormat="false" ht="15" hidden="false" customHeight="true" outlineLevel="0" collapsed="false">
      <c r="A148" s="43" t="str">
        <f aca="false">IF(Palette!$A120="","",Palette!$A120)</f>
        <v/>
      </c>
      <c r="B148" s="47" t="str">
        <f aca="false">IF($A148="","",Palette!$K120)</f>
        <v/>
      </c>
      <c r="C148" s="47" t="str">
        <f aca="false">IF($A148="","",Palette!$C120)</f>
        <v/>
      </c>
      <c r="D148" s="47" t="str">
        <f aca="false">IF($A148="","",Palette!$D120)</f>
        <v/>
      </c>
      <c r="E148" s="42" t="str">
        <f aca="false">IF($A148="","",SUMIF('Install Log'!$G$3:$G$202,$A148,'Install Log'!$J$3:$J$202))</f>
        <v/>
      </c>
      <c r="F148" s="42" t="str">
        <f aca="false">IF($A148="","",SUMIF('Install Log'!$G$3:$G$202,$A148,'Install Log'!$R$3:$R$202))</f>
        <v/>
      </c>
      <c r="G148" s="85" t="str">
        <f aca="false">IF(OR($A148="",N($E148)=0),"",IFERROR($F148/SUMIFS('Install Log'!$J$3:$J$202,'Install Log'!$G$3:$G$202,$A148,'Install Log'!$R$3:$R$202,"&lt;&gt;"),"—"))</f>
        <v/>
      </c>
      <c r="H148" s="88" t="str">
        <f aca="false">IF(OR($A148="",$B$6=0),"",$E148/$B$6)</f>
        <v/>
      </c>
      <c r="I148" s="88" t="str">
        <f aca="false">IF(OR($A148="",$B$6=0),"",SUMIF($C$30:$C$179,$C148,$E$30:$E$179)/$B$6)</f>
        <v/>
      </c>
      <c r="J148" s="88" t="str">
        <f aca="false">IF(OR($A148="",$B$6=0),"",SUMIF($D$30:$D$179,$D148,$E$30:$E$179)/$B$6)</f>
        <v/>
      </c>
      <c r="K148" s="47" t="str">
        <f aca="false">IF(OR($A148="",N($E148)=0),"",IF($B$6&lt;'Start Here'!$B$10,"too few plants",IF(AND($H148&lt;=0.1,$I148&lt;=0.2,$J148&lt;=0.3),"ok",TRIM(IF($H148&gt;0.1,"SPECIES ","")&amp;IF($I148&gt;0.2,"GENUS ","")&amp;IF($J148&gt;0.3,"FAMILY","")))))</f>
        <v/>
      </c>
    </row>
    <row r="149" customFormat="false" ht="15" hidden="false" customHeight="true" outlineLevel="0" collapsed="false">
      <c r="A149" s="43" t="str">
        <f aca="false">IF(Palette!$A121="","",Palette!$A121)</f>
        <v/>
      </c>
      <c r="B149" s="47" t="str">
        <f aca="false">IF($A149="","",Palette!$K121)</f>
        <v/>
      </c>
      <c r="C149" s="47" t="str">
        <f aca="false">IF($A149="","",Palette!$C121)</f>
        <v/>
      </c>
      <c r="D149" s="47" t="str">
        <f aca="false">IF($A149="","",Palette!$D121)</f>
        <v/>
      </c>
      <c r="E149" s="42" t="str">
        <f aca="false">IF($A149="","",SUMIF('Install Log'!$G$3:$G$202,$A149,'Install Log'!$J$3:$J$202))</f>
        <v/>
      </c>
      <c r="F149" s="42" t="str">
        <f aca="false">IF($A149="","",SUMIF('Install Log'!$G$3:$G$202,$A149,'Install Log'!$R$3:$R$202))</f>
        <v/>
      </c>
      <c r="G149" s="85" t="str">
        <f aca="false">IF(OR($A149="",N($E149)=0),"",IFERROR($F149/SUMIFS('Install Log'!$J$3:$J$202,'Install Log'!$G$3:$G$202,$A149,'Install Log'!$R$3:$R$202,"&lt;&gt;"),"—"))</f>
        <v/>
      </c>
      <c r="H149" s="88" t="str">
        <f aca="false">IF(OR($A149="",$B$6=0),"",$E149/$B$6)</f>
        <v/>
      </c>
      <c r="I149" s="88" t="str">
        <f aca="false">IF(OR($A149="",$B$6=0),"",SUMIF($C$30:$C$179,$C149,$E$30:$E$179)/$B$6)</f>
        <v/>
      </c>
      <c r="J149" s="88" t="str">
        <f aca="false">IF(OR($A149="",$B$6=0),"",SUMIF($D$30:$D$179,$D149,$E$30:$E$179)/$B$6)</f>
        <v/>
      </c>
      <c r="K149" s="47" t="str">
        <f aca="false">IF(OR($A149="",N($E149)=0),"",IF($B$6&lt;'Start Here'!$B$10,"too few plants",IF(AND($H149&lt;=0.1,$I149&lt;=0.2,$J149&lt;=0.3),"ok",TRIM(IF($H149&gt;0.1,"SPECIES ","")&amp;IF($I149&gt;0.2,"GENUS ","")&amp;IF($J149&gt;0.3,"FAMILY","")))))</f>
        <v/>
      </c>
    </row>
    <row r="150" customFormat="false" ht="15" hidden="false" customHeight="true" outlineLevel="0" collapsed="false">
      <c r="A150" s="43" t="str">
        <f aca="false">IF(Palette!$A122="","",Palette!$A122)</f>
        <v/>
      </c>
      <c r="B150" s="47" t="str">
        <f aca="false">IF($A150="","",Palette!$K122)</f>
        <v/>
      </c>
      <c r="C150" s="47" t="str">
        <f aca="false">IF($A150="","",Palette!$C122)</f>
        <v/>
      </c>
      <c r="D150" s="47" t="str">
        <f aca="false">IF($A150="","",Palette!$D122)</f>
        <v/>
      </c>
      <c r="E150" s="42" t="str">
        <f aca="false">IF($A150="","",SUMIF('Install Log'!$G$3:$G$202,$A150,'Install Log'!$J$3:$J$202))</f>
        <v/>
      </c>
      <c r="F150" s="42" t="str">
        <f aca="false">IF($A150="","",SUMIF('Install Log'!$G$3:$G$202,$A150,'Install Log'!$R$3:$R$202))</f>
        <v/>
      </c>
      <c r="G150" s="85" t="str">
        <f aca="false">IF(OR($A150="",N($E150)=0),"",IFERROR($F150/SUMIFS('Install Log'!$J$3:$J$202,'Install Log'!$G$3:$G$202,$A150,'Install Log'!$R$3:$R$202,"&lt;&gt;"),"—"))</f>
        <v/>
      </c>
      <c r="H150" s="88" t="str">
        <f aca="false">IF(OR($A150="",$B$6=0),"",$E150/$B$6)</f>
        <v/>
      </c>
      <c r="I150" s="88" t="str">
        <f aca="false">IF(OR($A150="",$B$6=0),"",SUMIF($C$30:$C$179,$C150,$E$30:$E$179)/$B$6)</f>
        <v/>
      </c>
      <c r="J150" s="88" t="str">
        <f aca="false">IF(OR($A150="",$B$6=0),"",SUMIF($D$30:$D$179,$D150,$E$30:$E$179)/$B$6)</f>
        <v/>
      </c>
      <c r="K150" s="47" t="str">
        <f aca="false">IF(OR($A150="",N($E150)=0),"",IF($B$6&lt;'Start Here'!$B$10,"too few plants",IF(AND($H150&lt;=0.1,$I150&lt;=0.2,$J150&lt;=0.3),"ok",TRIM(IF($H150&gt;0.1,"SPECIES ","")&amp;IF($I150&gt;0.2,"GENUS ","")&amp;IF($J150&gt;0.3,"FAMILY","")))))</f>
        <v/>
      </c>
    </row>
    <row r="151" customFormat="false" ht="15" hidden="false" customHeight="true" outlineLevel="0" collapsed="false">
      <c r="A151" s="43" t="str">
        <f aca="false">IF(Palette!$A123="","",Palette!$A123)</f>
        <v/>
      </c>
      <c r="B151" s="47" t="str">
        <f aca="false">IF($A151="","",Palette!$K123)</f>
        <v/>
      </c>
      <c r="C151" s="47" t="str">
        <f aca="false">IF($A151="","",Palette!$C123)</f>
        <v/>
      </c>
      <c r="D151" s="47" t="str">
        <f aca="false">IF($A151="","",Palette!$D123)</f>
        <v/>
      </c>
      <c r="E151" s="42" t="str">
        <f aca="false">IF($A151="","",SUMIF('Install Log'!$G$3:$G$202,$A151,'Install Log'!$J$3:$J$202))</f>
        <v/>
      </c>
      <c r="F151" s="42" t="str">
        <f aca="false">IF($A151="","",SUMIF('Install Log'!$G$3:$G$202,$A151,'Install Log'!$R$3:$R$202))</f>
        <v/>
      </c>
      <c r="G151" s="85" t="str">
        <f aca="false">IF(OR($A151="",N($E151)=0),"",IFERROR($F151/SUMIFS('Install Log'!$J$3:$J$202,'Install Log'!$G$3:$G$202,$A151,'Install Log'!$R$3:$R$202,"&lt;&gt;"),"—"))</f>
        <v/>
      </c>
      <c r="H151" s="88" t="str">
        <f aca="false">IF(OR($A151="",$B$6=0),"",$E151/$B$6)</f>
        <v/>
      </c>
      <c r="I151" s="88" t="str">
        <f aca="false">IF(OR($A151="",$B$6=0),"",SUMIF($C$30:$C$179,$C151,$E$30:$E$179)/$B$6)</f>
        <v/>
      </c>
      <c r="J151" s="88" t="str">
        <f aca="false">IF(OR($A151="",$B$6=0),"",SUMIF($D$30:$D$179,$D151,$E$30:$E$179)/$B$6)</f>
        <v/>
      </c>
      <c r="K151" s="47" t="str">
        <f aca="false">IF(OR($A151="",N($E151)=0),"",IF($B$6&lt;'Start Here'!$B$10,"too few plants",IF(AND($H151&lt;=0.1,$I151&lt;=0.2,$J151&lt;=0.3),"ok",TRIM(IF($H151&gt;0.1,"SPECIES ","")&amp;IF($I151&gt;0.2,"GENUS ","")&amp;IF($J151&gt;0.3,"FAMILY","")))))</f>
        <v/>
      </c>
    </row>
    <row r="152" customFormat="false" ht="15" hidden="false" customHeight="true" outlineLevel="0" collapsed="false">
      <c r="A152" s="43" t="str">
        <f aca="false">IF(Palette!$A124="","",Palette!$A124)</f>
        <v/>
      </c>
      <c r="B152" s="47" t="str">
        <f aca="false">IF($A152="","",Palette!$K124)</f>
        <v/>
      </c>
      <c r="C152" s="47" t="str">
        <f aca="false">IF($A152="","",Palette!$C124)</f>
        <v/>
      </c>
      <c r="D152" s="47" t="str">
        <f aca="false">IF($A152="","",Palette!$D124)</f>
        <v/>
      </c>
      <c r="E152" s="42" t="str">
        <f aca="false">IF($A152="","",SUMIF('Install Log'!$G$3:$G$202,$A152,'Install Log'!$J$3:$J$202))</f>
        <v/>
      </c>
      <c r="F152" s="42" t="str">
        <f aca="false">IF($A152="","",SUMIF('Install Log'!$G$3:$G$202,$A152,'Install Log'!$R$3:$R$202))</f>
        <v/>
      </c>
      <c r="G152" s="85" t="str">
        <f aca="false">IF(OR($A152="",N($E152)=0),"",IFERROR($F152/SUMIFS('Install Log'!$J$3:$J$202,'Install Log'!$G$3:$G$202,$A152,'Install Log'!$R$3:$R$202,"&lt;&gt;"),"—"))</f>
        <v/>
      </c>
      <c r="H152" s="88" t="str">
        <f aca="false">IF(OR($A152="",$B$6=0),"",$E152/$B$6)</f>
        <v/>
      </c>
      <c r="I152" s="88" t="str">
        <f aca="false">IF(OR($A152="",$B$6=0),"",SUMIF($C$30:$C$179,$C152,$E$30:$E$179)/$B$6)</f>
        <v/>
      </c>
      <c r="J152" s="88" t="str">
        <f aca="false">IF(OR($A152="",$B$6=0),"",SUMIF($D$30:$D$179,$D152,$E$30:$E$179)/$B$6)</f>
        <v/>
      </c>
      <c r="K152" s="47" t="str">
        <f aca="false">IF(OR($A152="",N($E152)=0),"",IF($B$6&lt;'Start Here'!$B$10,"too few plants",IF(AND($H152&lt;=0.1,$I152&lt;=0.2,$J152&lt;=0.3),"ok",TRIM(IF($H152&gt;0.1,"SPECIES ","")&amp;IF($I152&gt;0.2,"GENUS ","")&amp;IF($J152&gt;0.3,"FAMILY","")))))</f>
        <v/>
      </c>
    </row>
    <row r="153" customFormat="false" ht="15" hidden="false" customHeight="true" outlineLevel="0" collapsed="false">
      <c r="A153" s="43" t="str">
        <f aca="false">IF(Palette!$A125="","",Palette!$A125)</f>
        <v/>
      </c>
      <c r="B153" s="47" t="str">
        <f aca="false">IF($A153="","",Palette!$K125)</f>
        <v/>
      </c>
      <c r="C153" s="47" t="str">
        <f aca="false">IF($A153="","",Palette!$C125)</f>
        <v/>
      </c>
      <c r="D153" s="47" t="str">
        <f aca="false">IF($A153="","",Palette!$D125)</f>
        <v/>
      </c>
      <c r="E153" s="42" t="str">
        <f aca="false">IF($A153="","",SUMIF('Install Log'!$G$3:$G$202,$A153,'Install Log'!$J$3:$J$202))</f>
        <v/>
      </c>
      <c r="F153" s="42" t="str">
        <f aca="false">IF($A153="","",SUMIF('Install Log'!$G$3:$G$202,$A153,'Install Log'!$R$3:$R$202))</f>
        <v/>
      </c>
      <c r="G153" s="85" t="str">
        <f aca="false">IF(OR($A153="",N($E153)=0),"",IFERROR($F153/SUMIFS('Install Log'!$J$3:$J$202,'Install Log'!$G$3:$G$202,$A153,'Install Log'!$R$3:$R$202,"&lt;&gt;"),"—"))</f>
        <v/>
      </c>
      <c r="H153" s="88" t="str">
        <f aca="false">IF(OR($A153="",$B$6=0),"",$E153/$B$6)</f>
        <v/>
      </c>
      <c r="I153" s="88" t="str">
        <f aca="false">IF(OR($A153="",$B$6=0),"",SUMIF($C$30:$C$179,$C153,$E$30:$E$179)/$B$6)</f>
        <v/>
      </c>
      <c r="J153" s="88" t="str">
        <f aca="false">IF(OR($A153="",$B$6=0),"",SUMIF($D$30:$D$179,$D153,$E$30:$E$179)/$B$6)</f>
        <v/>
      </c>
      <c r="K153" s="47" t="str">
        <f aca="false">IF(OR($A153="",N($E153)=0),"",IF($B$6&lt;'Start Here'!$B$10,"too few plants",IF(AND($H153&lt;=0.1,$I153&lt;=0.2,$J153&lt;=0.3),"ok",TRIM(IF($H153&gt;0.1,"SPECIES ","")&amp;IF($I153&gt;0.2,"GENUS ","")&amp;IF($J153&gt;0.3,"FAMILY","")))))</f>
        <v/>
      </c>
    </row>
    <row r="154" customFormat="false" ht="15" hidden="false" customHeight="true" outlineLevel="0" collapsed="false">
      <c r="A154" s="43" t="str">
        <f aca="false">IF(Palette!$A126="","",Palette!$A126)</f>
        <v/>
      </c>
      <c r="B154" s="47" t="str">
        <f aca="false">IF($A154="","",Palette!$K126)</f>
        <v/>
      </c>
      <c r="C154" s="47" t="str">
        <f aca="false">IF($A154="","",Palette!$C126)</f>
        <v/>
      </c>
      <c r="D154" s="47" t="str">
        <f aca="false">IF($A154="","",Palette!$D126)</f>
        <v/>
      </c>
      <c r="E154" s="42" t="str">
        <f aca="false">IF($A154="","",SUMIF('Install Log'!$G$3:$G$202,$A154,'Install Log'!$J$3:$J$202))</f>
        <v/>
      </c>
      <c r="F154" s="42" t="str">
        <f aca="false">IF($A154="","",SUMIF('Install Log'!$G$3:$G$202,$A154,'Install Log'!$R$3:$R$202))</f>
        <v/>
      </c>
      <c r="G154" s="85" t="str">
        <f aca="false">IF(OR($A154="",N($E154)=0),"",IFERROR($F154/SUMIFS('Install Log'!$J$3:$J$202,'Install Log'!$G$3:$G$202,$A154,'Install Log'!$R$3:$R$202,"&lt;&gt;"),"—"))</f>
        <v/>
      </c>
      <c r="H154" s="88" t="str">
        <f aca="false">IF(OR($A154="",$B$6=0),"",$E154/$B$6)</f>
        <v/>
      </c>
      <c r="I154" s="88" t="str">
        <f aca="false">IF(OR($A154="",$B$6=0),"",SUMIF($C$30:$C$179,$C154,$E$30:$E$179)/$B$6)</f>
        <v/>
      </c>
      <c r="J154" s="88" t="str">
        <f aca="false">IF(OR($A154="",$B$6=0),"",SUMIF($D$30:$D$179,$D154,$E$30:$E$179)/$B$6)</f>
        <v/>
      </c>
      <c r="K154" s="47" t="str">
        <f aca="false">IF(OR($A154="",N($E154)=0),"",IF($B$6&lt;'Start Here'!$B$10,"too few plants",IF(AND($H154&lt;=0.1,$I154&lt;=0.2,$J154&lt;=0.3),"ok",TRIM(IF($H154&gt;0.1,"SPECIES ","")&amp;IF($I154&gt;0.2,"GENUS ","")&amp;IF($J154&gt;0.3,"FAMILY","")))))</f>
        <v/>
      </c>
    </row>
    <row r="155" customFormat="false" ht="15" hidden="false" customHeight="true" outlineLevel="0" collapsed="false">
      <c r="A155" s="43" t="str">
        <f aca="false">IF(Palette!$A127="","",Palette!$A127)</f>
        <v/>
      </c>
      <c r="B155" s="47" t="str">
        <f aca="false">IF($A155="","",Palette!$K127)</f>
        <v/>
      </c>
      <c r="C155" s="47" t="str">
        <f aca="false">IF($A155="","",Palette!$C127)</f>
        <v/>
      </c>
      <c r="D155" s="47" t="str">
        <f aca="false">IF($A155="","",Palette!$D127)</f>
        <v/>
      </c>
      <c r="E155" s="42" t="str">
        <f aca="false">IF($A155="","",SUMIF('Install Log'!$G$3:$G$202,$A155,'Install Log'!$J$3:$J$202))</f>
        <v/>
      </c>
      <c r="F155" s="42" t="str">
        <f aca="false">IF($A155="","",SUMIF('Install Log'!$G$3:$G$202,$A155,'Install Log'!$R$3:$R$202))</f>
        <v/>
      </c>
      <c r="G155" s="85" t="str">
        <f aca="false">IF(OR($A155="",N($E155)=0),"",IFERROR($F155/SUMIFS('Install Log'!$J$3:$J$202,'Install Log'!$G$3:$G$202,$A155,'Install Log'!$R$3:$R$202,"&lt;&gt;"),"—"))</f>
        <v/>
      </c>
      <c r="H155" s="88" t="str">
        <f aca="false">IF(OR($A155="",$B$6=0),"",$E155/$B$6)</f>
        <v/>
      </c>
      <c r="I155" s="88" t="str">
        <f aca="false">IF(OR($A155="",$B$6=0),"",SUMIF($C$30:$C$179,$C155,$E$30:$E$179)/$B$6)</f>
        <v/>
      </c>
      <c r="J155" s="88" t="str">
        <f aca="false">IF(OR($A155="",$B$6=0),"",SUMIF($D$30:$D$179,$D155,$E$30:$E$179)/$B$6)</f>
        <v/>
      </c>
      <c r="K155" s="47" t="str">
        <f aca="false">IF(OR($A155="",N($E155)=0),"",IF($B$6&lt;'Start Here'!$B$10,"too few plants",IF(AND($H155&lt;=0.1,$I155&lt;=0.2,$J155&lt;=0.3),"ok",TRIM(IF($H155&gt;0.1,"SPECIES ","")&amp;IF($I155&gt;0.2,"GENUS ","")&amp;IF($J155&gt;0.3,"FAMILY","")))))</f>
        <v/>
      </c>
    </row>
    <row r="156" customFormat="false" ht="15" hidden="false" customHeight="true" outlineLevel="0" collapsed="false">
      <c r="A156" s="43" t="str">
        <f aca="false">IF(Palette!$A128="","",Palette!$A128)</f>
        <v/>
      </c>
      <c r="B156" s="47" t="str">
        <f aca="false">IF($A156="","",Palette!$K128)</f>
        <v/>
      </c>
      <c r="C156" s="47" t="str">
        <f aca="false">IF($A156="","",Palette!$C128)</f>
        <v/>
      </c>
      <c r="D156" s="47" t="str">
        <f aca="false">IF($A156="","",Palette!$D128)</f>
        <v/>
      </c>
      <c r="E156" s="42" t="str">
        <f aca="false">IF($A156="","",SUMIF('Install Log'!$G$3:$G$202,$A156,'Install Log'!$J$3:$J$202))</f>
        <v/>
      </c>
      <c r="F156" s="42" t="str">
        <f aca="false">IF($A156="","",SUMIF('Install Log'!$G$3:$G$202,$A156,'Install Log'!$R$3:$R$202))</f>
        <v/>
      </c>
      <c r="G156" s="85" t="str">
        <f aca="false">IF(OR($A156="",N($E156)=0),"",IFERROR($F156/SUMIFS('Install Log'!$J$3:$J$202,'Install Log'!$G$3:$G$202,$A156,'Install Log'!$R$3:$R$202,"&lt;&gt;"),"—"))</f>
        <v/>
      </c>
      <c r="H156" s="88" t="str">
        <f aca="false">IF(OR($A156="",$B$6=0),"",$E156/$B$6)</f>
        <v/>
      </c>
      <c r="I156" s="88" t="str">
        <f aca="false">IF(OR($A156="",$B$6=0),"",SUMIF($C$30:$C$179,$C156,$E$30:$E$179)/$B$6)</f>
        <v/>
      </c>
      <c r="J156" s="88" t="str">
        <f aca="false">IF(OR($A156="",$B$6=0),"",SUMIF($D$30:$D$179,$D156,$E$30:$E$179)/$B$6)</f>
        <v/>
      </c>
      <c r="K156" s="47" t="str">
        <f aca="false">IF(OR($A156="",N($E156)=0),"",IF($B$6&lt;'Start Here'!$B$10,"too few plants",IF(AND($H156&lt;=0.1,$I156&lt;=0.2,$J156&lt;=0.3),"ok",TRIM(IF($H156&gt;0.1,"SPECIES ","")&amp;IF($I156&gt;0.2,"GENUS ","")&amp;IF($J156&gt;0.3,"FAMILY","")))))</f>
        <v/>
      </c>
    </row>
    <row r="157" customFormat="false" ht="15" hidden="false" customHeight="true" outlineLevel="0" collapsed="false">
      <c r="A157" s="43" t="str">
        <f aca="false">IF(Palette!$A129="","",Palette!$A129)</f>
        <v/>
      </c>
      <c r="B157" s="47" t="str">
        <f aca="false">IF($A157="","",Palette!$K129)</f>
        <v/>
      </c>
      <c r="C157" s="47" t="str">
        <f aca="false">IF($A157="","",Palette!$C129)</f>
        <v/>
      </c>
      <c r="D157" s="47" t="str">
        <f aca="false">IF($A157="","",Palette!$D129)</f>
        <v/>
      </c>
      <c r="E157" s="42" t="str">
        <f aca="false">IF($A157="","",SUMIF('Install Log'!$G$3:$G$202,$A157,'Install Log'!$J$3:$J$202))</f>
        <v/>
      </c>
      <c r="F157" s="42" t="str">
        <f aca="false">IF($A157="","",SUMIF('Install Log'!$G$3:$G$202,$A157,'Install Log'!$R$3:$R$202))</f>
        <v/>
      </c>
      <c r="G157" s="85" t="str">
        <f aca="false">IF(OR($A157="",N($E157)=0),"",IFERROR($F157/SUMIFS('Install Log'!$J$3:$J$202,'Install Log'!$G$3:$G$202,$A157,'Install Log'!$R$3:$R$202,"&lt;&gt;"),"—"))</f>
        <v/>
      </c>
      <c r="H157" s="88" t="str">
        <f aca="false">IF(OR($A157="",$B$6=0),"",$E157/$B$6)</f>
        <v/>
      </c>
      <c r="I157" s="88" t="str">
        <f aca="false">IF(OR($A157="",$B$6=0),"",SUMIF($C$30:$C$179,$C157,$E$30:$E$179)/$B$6)</f>
        <v/>
      </c>
      <c r="J157" s="88" t="str">
        <f aca="false">IF(OR($A157="",$B$6=0),"",SUMIF($D$30:$D$179,$D157,$E$30:$E$179)/$B$6)</f>
        <v/>
      </c>
      <c r="K157" s="47" t="str">
        <f aca="false">IF(OR($A157="",N($E157)=0),"",IF($B$6&lt;'Start Here'!$B$10,"too few plants",IF(AND($H157&lt;=0.1,$I157&lt;=0.2,$J157&lt;=0.3),"ok",TRIM(IF($H157&gt;0.1,"SPECIES ","")&amp;IF($I157&gt;0.2,"GENUS ","")&amp;IF($J157&gt;0.3,"FAMILY","")))))</f>
        <v/>
      </c>
    </row>
    <row r="158" customFormat="false" ht="15" hidden="false" customHeight="true" outlineLevel="0" collapsed="false">
      <c r="A158" s="43" t="str">
        <f aca="false">IF(Palette!$A130="","",Palette!$A130)</f>
        <v/>
      </c>
      <c r="B158" s="47" t="str">
        <f aca="false">IF($A158="","",Palette!$K130)</f>
        <v/>
      </c>
      <c r="C158" s="47" t="str">
        <f aca="false">IF($A158="","",Palette!$C130)</f>
        <v/>
      </c>
      <c r="D158" s="47" t="str">
        <f aca="false">IF($A158="","",Palette!$D130)</f>
        <v/>
      </c>
      <c r="E158" s="42" t="str">
        <f aca="false">IF($A158="","",SUMIF('Install Log'!$G$3:$G$202,$A158,'Install Log'!$J$3:$J$202))</f>
        <v/>
      </c>
      <c r="F158" s="42" t="str">
        <f aca="false">IF($A158="","",SUMIF('Install Log'!$G$3:$G$202,$A158,'Install Log'!$R$3:$R$202))</f>
        <v/>
      </c>
      <c r="G158" s="85" t="str">
        <f aca="false">IF(OR($A158="",N($E158)=0),"",IFERROR($F158/SUMIFS('Install Log'!$J$3:$J$202,'Install Log'!$G$3:$G$202,$A158,'Install Log'!$R$3:$R$202,"&lt;&gt;"),"—"))</f>
        <v/>
      </c>
      <c r="H158" s="88" t="str">
        <f aca="false">IF(OR($A158="",$B$6=0),"",$E158/$B$6)</f>
        <v/>
      </c>
      <c r="I158" s="88" t="str">
        <f aca="false">IF(OR($A158="",$B$6=0),"",SUMIF($C$30:$C$179,$C158,$E$30:$E$179)/$B$6)</f>
        <v/>
      </c>
      <c r="J158" s="88" t="str">
        <f aca="false">IF(OR($A158="",$B$6=0),"",SUMIF($D$30:$D$179,$D158,$E$30:$E$179)/$B$6)</f>
        <v/>
      </c>
      <c r="K158" s="47" t="str">
        <f aca="false">IF(OR($A158="",N($E158)=0),"",IF($B$6&lt;'Start Here'!$B$10,"too few plants",IF(AND($H158&lt;=0.1,$I158&lt;=0.2,$J158&lt;=0.3),"ok",TRIM(IF($H158&gt;0.1,"SPECIES ","")&amp;IF($I158&gt;0.2,"GENUS ","")&amp;IF($J158&gt;0.3,"FAMILY","")))))</f>
        <v/>
      </c>
    </row>
    <row r="159" customFormat="false" ht="15" hidden="false" customHeight="true" outlineLevel="0" collapsed="false">
      <c r="A159" s="43" t="str">
        <f aca="false">IF(Palette!$A131="","",Palette!$A131)</f>
        <v/>
      </c>
      <c r="B159" s="47" t="str">
        <f aca="false">IF($A159="","",Palette!$K131)</f>
        <v/>
      </c>
      <c r="C159" s="47" t="str">
        <f aca="false">IF($A159="","",Palette!$C131)</f>
        <v/>
      </c>
      <c r="D159" s="47" t="str">
        <f aca="false">IF($A159="","",Palette!$D131)</f>
        <v/>
      </c>
      <c r="E159" s="42" t="str">
        <f aca="false">IF($A159="","",SUMIF('Install Log'!$G$3:$G$202,$A159,'Install Log'!$J$3:$J$202))</f>
        <v/>
      </c>
      <c r="F159" s="42" t="str">
        <f aca="false">IF($A159="","",SUMIF('Install Log'!$G$3:$G$202,$A159,'Install Log'!$R$3:$R$202))</f>
        <v/>
      </c>
      <c r="G159" s="85" t="str">
        <f aca="false">IF(OR($A159="",N($E159)=0),"",IFERROR($F159/SUMIFS('Install Log'!$J$3:$J$202,'Install Log'!$G$3:$G$202,$A159,'Install Log'!$R$3:$R$202,"&lt;&gt;"),"—"))</f>
        <v/>
      </c>
      <c r="H159" s="88" t="str">
        <f aca="false">IF(OR($A159="",$B$6=0),"",$E159/$B$6)</f>
        <v/>
      </c>
      <c r="I159" s="88" t="str">
        <f aca="false">IF(OR($A159="",$B$6=0),"",SUMIF($C$30:$C$179,$C159,$E$30:$E$179)/$B$6)</f>
        <v/>
      </c>
      <c r="J159" s="88" t="str">
        <f aca="false">IF(OR($A159="",$B$6=0),"",SUMIF($D$30:$D$179,$D159,$E$30:$E$179)/$B$6)</f>
        <v/>
      </c>
      <c r="K159" s="47" t="str">
        <f aca="false">IF(OR($A159="",N($E159)=0),"",IF($B$6&lt;'Start Here'!$B$10,"too few plants",IF(AND($H159&lt;=0.1,$I159&lt;=0.2,$J159&lt;=0.3),"ok",TRIM(IF($H159&gt;0.1,"SPECIES ","")&amp;IF($I159&gt;0.2,"GENUS ","")&amp;IF($J159&gt;0.3,"FAMILY","")))))</f>
        <v/>
      </c>
    </row>
    <row r="160" customFormat="false" ht="15" hidden="false" customHeight="true" outlineLevel="0" collapsed="false">
      <c r="A160" s="43" t="str">
        <f aca="false">IF(Palette!$A132="","",Palette!$A132)</f>
        <v/>
      </c>
      <c r="B160" s="47" t="str">
        <f aca="false">IF($A160="","",Palette!$K132)</f>
        <v/>
      </c>
      <c r="C160" s="47" t="str">
        <f aca="false">IF($A160="","",Palette!$C132)</f>
        <v/>
      </c>
      <c r="D160" s="47" t="str">
        <f aca="false">IF($A160="","",Palette!$D132)</f>
        <v/>
      </c>
      <c r="E160" s="42" t="str">
        <f aca="false">IF($A160="","",SUMIF('Install Log'!$G$3:$G$202,$A160,'Install Log'!$J$3:$J$202))</f>
        <v/>
      </c>
      <c r="F160" s="42" t="str">
        <f aca="false">IF($A160="","",SUMIF('Install Log'!$G$3:$G$202,$A160,'Install Log'!$R$3:$R$202))</f>
        <v/>
      </c>
      <c r="G160" s="85" t="str">
        <f aca="false">IF(OR($A160="",N($E160)=0),"",IFERROR($F160/SUMIFS('Install Log'!$J$3:$J$202,'Install Log'!$G$3:$G$202,$A160,'Install Log'!$R$3:$R$202,"&lt;&gt;"),"—"))</f>
        <v/>
      </c>
      <c r="H160" s="88" t="str">
        <f aca="false">IF(OR($A160="",$B$6=0),"",$E160/$B$6)</f>
        <v/>
      </c>
      <c r="I160" s="88" t="str">
        <f aca="false">IF(OR($A160="",$B$6=0),"",SUMIF($C$30:$C$179,$C160,$E$30:$E$179)/$B$6)</f>
        <v/>
      </c>
      <c r="J160" s="88" t="str">
        <f aca="false">IF(OR($A160="",$B$6=0),"",SUMIF($D$30:$D$179,$D160,$E$30:$E$179)/$B$6)</f>
        <v/>
      </c>
      <c r="K160" s="47" t="str">
        <f aca="false">IF(OR($A160="",N($E160)=0),"",IF($B$6&lt;'Start Here'!$B$10,"too few plants",IF(AND($H160&lt;=0.1,$I160&lt;=0.2,$J160&lt;=0.3),"ok",TRIM(IF($H160&gt;0.1,"SPECIES ","")&amp;IF($I160&gt;0.2,"GENUS ","")&amp;IF($J160&gt;0.3,"FAMILY","")))))</f>
        <v/>
      </c>
    </row>
    <row r="161" customFormat="false" ht="15" hidden="false" customHeight="true" outlineLevel="0" collapsed="false">
      <c r="A161" s="43" t="str">
        <f aca="false">IF(Palette!$A133="","",Palette!$A133)</f>
        <v/>
      </c>
      <c r="B161" s="47" t="str">
        <f aca="false">IF($A161="","",Palette!$K133)</f>
        <v/>
      </c>
      <c r="C161" s="47" t="str">
        <f aca="false">IF($A161="","",Palette!$C133)</f>
        <v/>
      </c>
      <c r="D161" s="47" t="str">
        <f aca="false">IF($A161="","",Palette!$D133)</f>
        <v/>
      </c>
      <c r="E161" s="42" t="str">
        <f aca="false">IF($A161="","",SUMIF('Install Log'!$G$3:$G$202,$A161,'Install Log'!$J$3:$J$202))</f>
        <v/>
      </c>
      <c r="F161" s="42" t="str">
        <f aca="false">IF($A161="","",SUMIF('Install Log'!$G$3:$G$202,$A161,'Install Log'!$R$3:$R$202))</f>
        <v/>
      </c>
      <c r="G161" s="85" t="str">
        <f aca="false">IF(OR($A161="",N($E161)=0),"",IFERROR($F161/SUMIFS('Install Log'!$J$3:$J$202,'Install Log'!$G$3:$G$202,$A161,'Install Log'!$R$3:$R$202,"&lt;&gt;"),"—"))</f>
        <v/>
      </c>
      <c r="H161" s="88" t="str">
        <f aca="false">IF(OR($A161="",$B$6=0),"",$E161/$B$6)</f>
        <v/>
      </c>
      <c r="I161" s="88" t="str">
        <f aca="false">IF(OR($A161="",$B$6=0),"",SUMIF($C$30:$C$179,$C161,$E$30:$E$179)/$B$6)</f>
        <v/>
      </c>
      <c r="J161" s="88" t="str">
        <f aca="false">IF(OR($A161="",$B$6=0),"",SUMIF($D$30:$D$179,$D161,$E$30:$E$179)/$B$6)</f>
        <v/>
      </c>
      <c r="K161" s="47" t="str">
        <f aca="false">IF(OR($A161="",N($E161)=0),"",IF($B$6&lt;'Start Here'!$B$10,"too few plants",IF(AND($H161&lt;=0.1,$I161&lt;=0.2,$J161&lt;=0.3),"ok",TRIM(IF($H161&gt;0.1,"SPECIES ","")&amp;IF($I161&gt;0.2,"GENUS ","")&amp;IF($J161&gt;0.3,"FAMILY","")))))</f>
        <v/>
      </c>
    </row>
    <row r="162" customFormat="false" ht="15" hidden="false" customHeight="true" outlineLevel="0" collapsed="false">
      <c r="A162" s="43" t="str">
        <f aca="false">IF(Palette!$A134="","",Palette!$A134)</f>
        <v/>
      </c>
      <c r="B162" s="47" t="str">
        <f aca="false">IF($A162="","",Palette!$K134)</f>
        <v/>
      </c>
      <c r="C162" s="47" t="str">
        <f aca="false">IF($A162="","",Palette!$C134)</f>
        <v/>
      </c>
      <c r="D162" s="47" t="str">
        <f aca="false">IF($A162="","",Palette!$D134)</f>
        <v/>
      </c>
      <c r="E162" s="42" t="str">
        <f aca="false">IF($A162="","",SUMIF('Install Log'!$G$3:$G$202,$A162,'Install Log'!$J$3:$J$202))</f>
        <v/>
      </c>
      <c r="F162" s="42" t="str">
        <f aca="false">IF($A162="","",SUMIF('Install Log'!$G$3:$G$202,$A162,'Install Log'!$R$3:$R$202))</f>
        <v/>
      </c>
      <c r="G162" s="85" t="str">
        <f aca="false">IF(OR($A162="",N($E162)=0),"",IFERROR($F162/SUMIFS('Install Log'!$J$3:$J$202,'Install Log'!$G$3:$G$202,$A162,'Install Log'!$R$3:$R$202,"&lt;&gt;"),"—"))</f>
        <v/>
      </c>
      <c r="H162" s="88" t="str">
        <f aca="false">IF(OR($A162="",$B$6=0),"",$E162/$B$6)</f>
        <v/>
      </c>
      <c r="I162" s="88" t="str">
        <f aca="false">IF(OR($A162="",$B$6=0),"",SUMIF($C$30:$C$179,$C162,$E$30:$E$179)/$B$6)</f>
        <v/>
      </c>
      <c r="J162" s="88" t="str">
        <f aca="false">IF(OR($A162="",$B$6=0),"",SUMIF($D$30:$D$179,$D162,$E$30:$E$179)/$B$6)</f>
        <v/>
      </c>
      <c r="K162" s="47" t="str">
        <f aca="false">IF(OR($A162="",N($E162)=0),"",IF($B$6&lt;'Start Here'!$B$10,"too few plants",IF(AND($H162&lt;=0.1,$I162&lt;=0.2,$J162&lt;=0.3),"ok",TRIM(IF($H162&gt;0.1,"SPECIES ","")&amp;IF($I162&gt;0.2,"GENUS ","")&amp;IF($J162&gt;0.3,"FAMILY","")))))</f>
        <v/>
      </c>
    </row>
    <row r="163" customFormat="false" ht="15" hidden="false" customHeight="true" outlineLevel="0" collapsed="false">
      <c r="A163" s="43" t="str">
        <f aca="false">IF(Palette!$A135="","",Palette!$A135)</f>
        <v/>
      </c>
      <c r="B163" s="47" t="str">
        <f aca="false">IF($A163="","",Palette!$K135)</f>
        <v/>
      </c>
      <c r="C163" s="47" t="str">
        <f aca="false">IF($A163="","",Palette!$C135)</f>
        <v/>
      </c>
      <c r="D163" s="47" t="str">
        <f aca="false">IF($A163="","",Palette!$D135)</f>
        <v/>
      </c>
      <c r="E163" s="42" t="str">
        <f aca="false">IF($A163="","",SUMIF('Install Log'!$G$3:$G$202,$A163,'Install Log'!$J$3:$J$202))</f>
        <v/>
      </c>
      <c r="F163" s="42" t="str">
        <f aca="false">IF($A163="","",SUMIF('Install Log'!$G$3:$G$202,$A163,'Install Log'!$R$3:$R$202))</f>
        <v/>
      </c>
      <c r="G163" s="85" t="str">
        <f aca="false">IF(OR($A163="",N($E163)=0),"",IFERROR($F163/SUMIFS('Install Log'!$J$3:$J$202,'Install Log'!$G$3:$G$202,$A163,'Install Log'!$R$3:$R$202,"&lt;&gt;"),"—"))</f>
        <v/>
      </c>
      <c r="H163" s="88" t="str">
        <f aca="false">IF(OR($A163="",$B$6=0),"",$E163/$B$6)</f>
        <v/>
      </c>
      <c r="I163" s="88" t="str">
        <f aca="false">IF(OR($A163="",$B$6=0),"",SUMIF($C$30:$C$179,$C163,$E$30:$E$179)/$B$6)</f>
        <v/>
      </c>
      <c r="J163" s="88" t="str">
        <f aca="false">IF(OR($A163="",$B$6=0),"",SUMIF($D$30:$D$179,$D163,$E$30:$E$179)/$B$6)</f>
        <v/>
      </c>
      <c r="K163" s="47" t="str">
        <f aca="false">IF(OR($A163="",N($E163)=0),"",IF($B$6&lt;'Start Here'!$B$10,"too few plants",IF(AND($H163&lt;=0.1,$I163&lt;=0.2,$J163&lt;=0.3),"ok",TRIM(IF($H163&gt;0.1,"SPECIES ","")&amp;IF($I163&gt;0.2,"GENUS ","")&amp;IF($J163&gt;0.3,"FAMILY","")))))</f>
        <v/>
      </c>
    </row>
    <row r="164" customFormat="false" ht="15" hidden="false" customHeight="true" outlineLevel="0" collapsed="false">
      <c r="A164" s="43" t="str">
        <f aca="false">IF(Palette!$A136="","",Palette!$A136)</f>
        <v/>
      </c>
      <c r="B164" s="47" t="str">
        <f aca="false">IF($A164="","",Palette!$K136)</f>
        <v/>
      </c>
      <c r="C164" s="47" t="str">
        <f aca="false">IF($A164="","",Palette!$C136)</f>
        <v/>
      </c>
      <c r="D164" s="47" t="str">
        <f aca="false">IF($A164="","",Palette!$D136)</f>
        <v/>
      </c>
      <c r="E164" s="42" t="str">
        <f aca="false">IF($A164="","",SUMIF('Install Log'!$G$3:$G$202,$A164,'Install Log'!$J$3:$J$202))</f>
        <v/>
      </c>
      <c r="F164" s="42" t="str">
        <f aca="false">IF($A164="","",SUMIF('Install Log'!$G$3:$G$202,$A164,'Install Log'!$R$3:$R$202))</f>
        <v/>
      </c>
      <c r="G164" s="85" t="str">
        <f aca="false">IF(OR($A164="",N($E164)=0),"",IFERROR($F164/SUMIFS('Install Log'!$J$3:$J$202,'Install Log'!$G$3:$G$202,$A164,'Install Log'!$R$3:$R$202,"&lt;&gt;"),"—"))</f>
        <v/>
      </c>
      <c r="H164" s="88" t="str">
        <f aca="false">IF(OR($A164="",$B$6=0),"",$E164/$B$6)</f>
        <v/>
      </c>
      <c r="I164" s="88" t="str">
        <f aca="false">IF(OR($A164="",$B$6=0),"",SUMIF($C$30:$C$179,$C164,$E$30:$E$179)/$B$6)</f>
        <v/>
      </c>
      <c r="J164" s="88" t="str">
        <f aca="false">IF(OR($A164="",$B$6=0),"",SUMIF($D$30:$D$179,$D164,$E$30:$E$179)/$B$6)</f>
        <v/>
      </c>
      <c r="K164" s="47" t="str">
        <f aca="false">IF(OR($A164="",N($E164)=0),"",IF($B$6&lt;'Start Here'!$B$10,"too few plants",IF(AND($H164&lt;=0.1,$I164&lt;=0.2,$J164&lt;=0.3),"ok",TRIM(IF($H164&gt;0.1,"SPECIES ","")&amp;IF($I164&gt;0.2,"GENUS ","")&amp;IF($J164&gt;0.3,"FAMILY","")))))</f>
        <v/>
      </c>
    </row>
    <row r="165" customFormat="false" ht="15" hidden="false" customHeight="true" outlineLevel="0" collapsed="false">
      <c r="A165" s="43" t="str">
        <f aca="false">IF(Palette!$A137="","",Palette!$A137)</f>
        <v/>
      </c>
      <c r="B165" s="47" t="str">
        <f aca="false">IF($A165="","",Palette!$K137)</f>
        <v/>
      </c>
      <c r="C165" s="47" t="str">
        <f aca="false">IF($A165="","",Palette!$C137)</f>
        <v/>
      </c>
      <c r="D165" s="47" t="str">
        <f aca="false">IF($A165="","",Palette!$D137)</f>
        <v/>
      </c>
      <c r="E165" s="42" t="str">
        <f aca="false">IF($A165="","",SUMIF('Install Log'!$G$3:$G$202,$A165,'Install Log'!$J$3:$J$202))</f>
        <v/>
      </c>
      <c r="F165" s="42" t="str">
        <f aca="false">IF($A165="","",SUMIF('Install Log'!$G$3:$G$202,$A165,'Install Log'!$R$3:$R$202))</f>
        <v/>
      </c>
      <c r="G165" s="85" t="str">
        <f aca="false">IF(OR($A165="",N($E165)=0),"",IFERROR($F165/SUMIFS('Install Log'!$J$3:$J$202,'Install Log'!$G$3:$G$202,$A165,'Install Log'!$R$3:$R$202,"&lt;&gt;"),"—"))</f>
        <v/>
      </c>
      <c r="H165" s="88" t="str">
        <f aca="false">IF(OR($A165="",$B$6=0),"",$E165/$B$6)</f>
        <v/>
      </c>
      <c r="I165" s="88" t="str">
        <f aca="false">IF(OR($A165="",$B$6=0),"",SUMIF($C$30:$C$179,$C165,$E$30:$E$179)/$B$6)</f>
        <v/>
      </c>
      <c r="J165" s="88" t="str">
        <f aca="false">IF(OR($A165="",$B$6=0),"",SUMIF($D$30:$D$179,$D165,$E$30:$E$179)/$B$6)</f>
        <v/>
      </c>
      <c r="K165" s="47" t="str">
        <f aca="false">IF(OR($A165="",N($E165)=0),"",IF($B$6&lt;'Start Here'!$B$10,"too few plants",IF(AND($H165&lt;=0.1,$I165&lt;=0.2,$J165&lt;=0.3),"ok",TRIM(IF($H165&gt;0.1,"SPECIES ","")&amp;IF($I165&gt;0.2,"GENUS ","")&amp;IF($J165&gt;0.3,"FAMILY","")))))</f>
        <v/>
      </c>
    </row>
    <row r="166" customFormat="false" ht="15" hidden="false" customHeight="true" outlineLevel="0" collapsed="false">
      <c r="A166" s="43" t="str">
        <f aca="false">IF(Palette!$A138="","",Palette!$A138)</f>
        <v/>
      </c>
      <c r="B166" s="47" t="str">
        <f aca="false">IF($A166="","",Palette!$K138)</f>
        <v/>
      </c>
      <c r="C166" s="47" t="str">
        <f aca="false">IF($A166="","",Palette!$C138)</f>
        <v/>
      </c>
      <c r="D166" s="47" t="str">
        <f aca="false">IF($A166="","",Palette!$D138)</f>
        <v/>
      </c>
      <c r="E166" s="42" t="str">
        <f aca="false">IF($A166="","",SUMIF('Install Log'!$G$3:$G$202,$A166,'Install Log'!$J$3:$J$202))</f>
        <v/>
      </c>
      <c r="F166" s="42" t="str">
        <f aca="false">IF($A166="","",SUMIF('Install Log'!$G$3:$G$202,$A166,'Install Log'!$R$3:$R$202))</f>
        <v/>
      </c>
      <c r="G166" s="85" t="str">
        <f aca="false">IF(OR($A166="",N($E166)=0),"",IFERROR($F166/SUMIFS('Install Log'!$J$3:$J$202,'Install Log'!$G$3:$G$202,$A166,'Install Log'!$R$3:$R$202,"&lt;&gt;"),"—"))</f>
        <v/>
      </c>
      <c r="H166" s="88" t="str">
        <f aca="false">IF(OR($A166="",$B$6=0),"",$E166/$B$6)</f>
        <v/>
      </c>
      <c r="I166" s="88" t="str">
        <f aca="false">IF(OR($A166="",$B$6=0),"",SUMIF($C$30:$C$179,$C166,$E$30:$E$179)/$B$6)</f>
        <v/>
      </c>
      <c r="J166" s="88" t="str">
        <f aca="false">IF(OR($A166="",$B$6=0),"",SUMIF($D$30:$D$179,$D166,$E$30:$E$179)/$B$6)</f>
        <v/>
      </c>
      <c r="K166" s="47" t="str">
        <f aca="false">IF(OR($A166="",N($E166)=0),"",IF($B$6&lt;'Start Here'!$B$10,"too few plants",IF(AND($H166&lt;=0.1,$I166&lt;=0.2,$J166&lt;=0.3),"ok",TRIM(IF($H166&gt;0.1,"SPECIES ","")&amp;IF($I166&gt;0.2,"GENUS ","")&amp;IF($J166&gt;0.3,"FAMILY","")))))</f>
        <v/>
      </c>
    </row>
    <row r="167" customFormat="false" ht="15" hidden="false" customHeight="true" outlineLevel="0" collapsed="false">
      <c r="A167" s="43" t="str">
        <f aca="false">IF(Palette!$A139="","",Palette!$A139)</f>
        <v/>
      </c>
      <c r="B167" s="47" t="str">
        <f aca="false">IF($A167="","",Palette!$K139)</f>
        <v/>
      </c>
      <c r="C167" s="47" t="str">
        <f aca="false">IF($A167="","",Palette!$C139)</f>
        <v/>
      </c>
      <c r="D167" s="47" t="str">
        <f aca="false">IF($A167="","",Palette!$D139)</f>
        <v/>
      </c>
      <c r="E167" s="42" t="str">
        <f aca="false">IF($A167="","",SUMIF('Install Log'!$G$3:$G$202,$A167,'Install Log'!$J$3:$J$202))</f>
        <v/>
      </c>
      <c r="F167" s="42" t="str">
        <f aca="false">IF($A167="","",SUMIF('Install Log'!$G$3:$G$202,$A167,'Install Log'!$R$3:$R$202))</f>
        <v/>
      </c>
      <c r="G167" s="85" t="str">
        <f aca="false">IF(OR($A167="",N($E167)=0),"",IFERROR($F167/SUMIFS('Install Log'!$J$3:$J$202,'Install Log'!$G$3:$G$202,$A167,'Install Log'!$R$3:$R$202,"&lt;&gt;"),"—"))</f>
        <v/>
      </c>
      <c r="H167" s="88" t="str">
        <f aca="false">IF(OR($A167="",$B$6=0),"",$E167/$B$6)</f>
        <v/>
      </c>
      <c r="I167" s="88" t="str">
        <f aca="false">IF(OR($A167="",$B$6=0),"",SUMIF($C$30:$C$179,$C167,$E$30:$E$179)/$B$6)</f>
        <v/>
      </c>
      <c r="J167" s="88" t="str">
        <f aca="false">IF(OR($A167="",$B$6=0),"",SUMIF($D$30:$D$179,$D167,$E$30:$E$179)/$B$6)</f>
        <v/>
      </c>
      <c r="K167" s="47" t="str">
        <f aca="false">IF(OR($A167="",N($E167)=0),"",IF($B$6&lt;'Start Here'!$B$10,"too few plants",IF(AND($H167&lt;=0.1,$I167&lt;=0.2,$J167&lt;=0.3),"ok",TRIM(IF($H167&gt;0.1,"SPECIES ","")&amp;IF($I167&gt;0.2,"GENUS ","")&amp;IF($J167&gt;0.3,"FAMILY","")))))</f>
        <v/>
      </c>
    </row>
    <row r="168" customFormat="false" ht="15" hidden="false" customHeight="true" outlineLevel="0" collapsed="false">
      <c r="A168" s="43" t="str">
        <f aca="false">IF(Palette!$A140="","",Palette!$A140)</f>
        <v/>
      </c>
      <c r="B168" s="47" t="str">
        <f aca="false">IF($A168="","",Palette!$K140)</f>
        <v/>
      </c>
      <c r="C168" s="47" t="str">
        <f aca="false">IF($A168="","",Palette!$C140)</f>
        <v/>
      </c>
      <c r="D168" s="47" t="str">
        <f aca="false">IF($A168="","",Palette!$D140)</f>
        <v/>
      </c>
      <c r="E168" s="42" t="str">
        <f aca="false">IF($A168="","",SUMIF('Install Log'!$G$3:$G$202,$A168,'Install Log'!$J$3:$J$202))</f>
        <v/>
      </c>
      <c r="F168" s="42" t="str">
        <f aca="false">IF($A168="","",SUMIF('Install Log'!$G$3:$G$202,$A168,'Install Log'!$R$3:$R$202))</f>
        <v/>
      </c>
      <c r="G168" s="85" t="str">
        <f aca="false">IF(OR($A168="",N($E168)=0),"",IFERROR($F168/SUMIFS('Install Log'!$J$3:$J$202,'Install Log'!$G$3:$G$202,$A168,'Install Log'!$R$3:$R$202,"&lt;&gt;"),"—"))</f>
        <v/>
      </c>
      <c r="H168" s="88" t="str">
        <f aca="false">IF(OR($A168="",$B$6=0),"",$E168/$B$6)</f>
        <v/>
      </c>
      <c r="I168" s="88" t="str">
        <f aca="false">IF(OR($A168="",$B$6=0),"",SUMIF($C$30:$C$179,$C168,$E$30:$E$179)/$B$6)</f>
        <v/>
      </c>
      <c r="J168" s="88" t="str">
        <f aca="false">IF(OR($A168="",$B$6=0),"",SUMIF($D$30:$D$179,$D168,$E$30:$E$179)/$B$6)</f>
        <v/>
      </c>
      <c r="K168" s="47" t="str">
        <f aca="false">IF(OR($A168="",N($E168)=0),"",IF($B$6&lt;'Start Here'!$B$10,"too few plants",IF(AND($H168&lt;=0.1,$I168&lt;=0.2,$J168&lt;=0.3),"ok",TRIM(IF($H168&gt;0.1,"SPECIES ","")&amp;IF($I168&gt;0.2,"GENUS ","")&amp;IF($J168&gt;0.3,"FAMILY","")))))</f>
        <v/>
      </c>
    </row>
    <row r="169" customFormat="false" ht="15" hidden="false" customHeight="true" outlineLevel="0" collapsed="false">
      <c r="A169" s="43" t="str">
        <f aca="false">IF(Palette!$A141="","",Palette!$A141)</f>
        <v/>
      </c>
      <c r="B169" s="47" t="str">
        <f aca="false">IF($A169="","",Palette!$K141)</f>
        <v/>
      </c>
      <c r="C169" s="47" t="str">
        <f aca="false">IF($A169="","",Palette!$C141)</f>
        <v/>
      </c>
      <c r="D169" s="47" t="str">
        <f aca="false">IF($A169="","",Palette!$D141)</f>
        <v/>
      </c>
      <c r="E169" s="42" t="str">
        <f aca="false">IF($A169="","",SUMIF('Install Log'!$G$3:$G$202,$A169,'Install Log'!$J$3:$J$202))</f>
        <v/>
      </c>
      <c r="F169" s="42" t="str">
        <f aca="false">IF($A169="","",SUMIF('Install Log'!$G$3:$G$202,$A169,'Install Log'!$R$3:$R$202))</f>
        <v/>
      </c>
      <c r="G169" s="85" t="str">
        <f aca="false">IF(OR($A169="",N($E169)=0),"",IFERROR($F169/SUMIFS('Install Log'!$J$3:$J$202,'Install Log'!$G$3:$G$202,$A169,'Install Log'!$R$3:$R$202,"&lt;&gt;"),"—"))</f>
        <v/>
      </c>
      <c r="H169" s="88" t="str">
        <f aca="false">IF(OR($A169="",$B$6=0),"",$E169/$B$6)</f>
        <v/>
      </c>
      <c r="I169" s="88" t="str">
        <f aca="false">IF(OR($A169="",$B$6=0),"",SUMIF($C$30:$C$179,$C169,$E$30:$E$179)/$B$6)</f>
        <v/>
      </c>
      <c r="J169" s="88" t="str">
        <f aca="false">IF(OR($A169="",$B$6=0),"",SUMIF($D$30:$D$179,$D169,$E$30:$E$179)/$B$6)</f>
        <v/>
      </c>
      <c r="K169" s="47" t="str">
        <f aca="false">IF(OR($A169="",N($E169)=0),"",IF($B$6&lt;'Start Here'!$B$10,"too few plants",IF(AND($H169&lt;=0.1,$I169&lt;=0.2,$J169&lt;=0.3),"ok",TRIM(IF($H169&gt;0.1,"SPECIES ","")&amp;IF($I169&gt;0.2,"GENUS ","")&amp;IF($J169&gt;0.3,"FAMILY","")))))</f>
        <v/>
      </c>
    </row>
    <row r="170" customFormat="false" ht="15" hidden="false" customHeight="true" outlineLevel="0" collapsed="false">
      <c r="A170" s="43" t="str">
        <f aca="false">IF(Palette!$A142="","",Palette!$A142)</f>
        <v/>
      </c>
      <c r="B170" s="47" t="str">
        <f aca="false">IF($A170="","",Palette!$K142)</f>
        <v/>
      </c>
      <c r="C170" s="47" t="str">
        <f aca="false">IF($A170="","",Palette!$C142)</f>
        <v/>
      </c>
      <c r="D170" s="47" t="str">
        <f aca="false">IF($A170="","",Palette!$D142)</f>
        <v/>
      </c>
      <c r="E170" s="42" t="str">
        <f aca="false">IF($A170="","",SUMIF('Install Log'!$G$3:$G$202,$A170,'Install Log'!$J$3:$J$202))</f>
        <v/>
      </c>
      <c r="F170" s="42" t="str">
        <f aca="false">IF($A170="","",SUMIF('Install Log'!$G$3:$G$202,$A170,'Install Log'!$R$3:$R$202))</f>
        <v/>
      </c>
      <c r="G170" s="85" t="str">
        <f aca="false">IF(OR($A170="",N($E170)=0),"",IFERROR($F170/SUMIFS('Install Log'!$J$3:$J$202,'Install Log'!$G$3:$G$202,$A170,'Install Log'!$R$3:$R$202,"&lt;&gt;"),"—"))</f>
        <v/>
      </c>
      <c r="H170" s="88" t="str">
        <f aca="false">IF(OR($A170="",$B$6=0),"",$E170/$B$6)</f>
        <v/>
      </c>
      <c r="I170" s="88" t="str">
        <f aca="false">IF(OR($A170="",$B$6=0),"",SUMIF($C$30:$C$179,$C170,$E$30:$E$179)/$B$6)</f>
        <v/>
      </c>
      <c r="J170" s="88" t="str">
        <f aca="false">IF(OR($A170="",$B$6=0),"",SUMIF($D$30:$D$179,$D170,$E$30:$E$179)/$B$6)</f>
        <v/>
      </c>
      <c r="K170" s="47" t="str">
        <f aca="false">IF(OR($A170="",N($E170)=0),"",IF($B$6&lt;'Start Here'!$B$10,"too few plants",IF(AND($H170&lt;=0.1,$I170&lt;=0.2,$J170&lt;=0.3),"ok",TRIM(IF($H170&gt;0.1,"SPECIES ","")&amp;IF($I170&gt;0.2,"GENUS ","")&amp;IF($J170&gt;0.3,"FAMILY","")))))</f>
        <v/>
      </c>
    </row>
    <row r="171" customFormat="false" ht="15" hidden="false" customHeight="true" outlineLevel="0" collapsed="false">
      <c r="A171" s="43" t="str">
        <f aca="false">IF(Palette!$A143="","",Palette!$A143)</f>
        <v/>
      </c>
      <c r="B171" s="47" t="str">
        <f aca="false">IF($A171="","",Palette!$K143)</f>
        <v/>
      </c>
      <c r="C171" s="47" t="str">
        <f aca="false">IF($A171="","",Palette!$C143)</f>
        <v/>
      </c>
      <c r="D171" s="47" t="str">
        <f aca="false">IF($A171="","",Palette!$D143)</f>
        <v/>
      </c>
      <c r="E171" s="42" t="str">
        <f aca="false">IF($A171="","",SUMIF('Install Log'!$G$3:$G$202,$A171,'Install Log'!$J$3:$J$202))</f>
        <v/>
      </c>
      <c r="F171" s="42" t="str">
        <f aca="false">IF($A171="","",SUMIF('Install Log'!$G$3:$G$202,$A171,'Install Log'!$R$3:$R$202))</f>
        <v/>
      </c>
      <c r="G171" s="85" t="str">
        <f aca="false">IF(OR($A171="",N($E171)=0),"",IFERROR($F171/SUMIFS('Install Log'!$J$3:$J$202,'Install Log'!$G$3:$G$202,$A171,'Install Log'!$R$3:$R$202,"&lt;&gt;"),"—"))</f>
        <v/>
      </c>
      <c r="H171" s="88" t="str">
        <f aca="false">IF(OR($A171="",$B$6=0),"",$E171/$B$6)</f>
        <v/>
      </c>
      <c r="I171" s="88" t="str">
        <f aca="false">IF(OR($A171="",$B$6=0),"",SUMIF($C$30:$C$179,$C171,$E$30:$E$179)/$B$6)</f>
        <v/>
      </c>
      <c r="J171" s="88" t="str">
        <f aca="false">IF(OR($A171="",$B$6=0),"",SUMIF($D$30:$D$179,$D171,$E$30:$E$179)/$B$6)</f>
        <v/>
      </c>
      <c r="K171" s="47" t="str">
        <f aca="false">IF(OR($A171="",N($E171)=0),"",IF($B$6&lt;'Start Here'!$B$10,"too few plants",IF(AND($H171&lt;=0.1,$I171&lt;=0.2,$J171&lt;=0.3),"ok",TRIM(IF($H171&gt;0.1,"SPECIES ","")&amp;IF($I171&gt;0.2,"GENUS ","")&amp;IF($J171&gt;0.3,"FAMILY","")))))</f>
        <v/>
      </c>
    </row>
    <row r="172" customFormat="false" ht="15" hidden="false" customHeight="true" outlineLevel="0" collapsed="false">
      <c r="A172" s="43" t="str">
        <f aca="false">IF(Palette!$A144="","",Palette!$A144)</f>
        <v/>
      </c>
      <c r="B172" s="47" t="str">
        <f aca="false">IF($A172="","",Palette!$K144)</f>
        <v/>
      </c>
      <c r="C172" s="47" t="str">
        <f aca="false">IF($A172="","",Palette!$C144)</f>
        <v/>
      </c>
      <c r="D172" s="47" t="str">
        <f aca="false">IF($A172="","",Palette!$D144)</f>
        <v/>
      </c>
      <c r="E172" s="42" t="str">
        <f aca="false">IF($A172="","",SUMIF('Install Log'!$G$3:$G$202,$A172,'Install Log'!$J$3:$J$202))</f>
        <v/>
      </c>
      <c r="F172" s="42" t="str">
        <f aca="false">IF($A172="","",SUMIF('Install Log'!$G$3:$G$202,$A172,'Install Log'!$R$3:$R$202))</f>
        <v/>
      </c>
      <c r="G172" s="85" t="str">
        <f aca="false">IF(OR($A172="",N($E172)=0),"",IFERROR($F172/SUMIFS('Install Log'!$J$3:$J$202,'Install Log'!$G$3:$G$202,$A172,'Install Log'!$R$3:$R$202,"&lt;&gt;"),"—"))</f>
        <v/>
      </c>
      <c r="H172" s="88" t="str">
        <f aca="false">IF(OR($A172="",$B$6=0),"",$E172/$B$6)</f>
        <v/>
      </c>
      <c r="I172" s="88" t="str">
        <f aca="false">IF(OR($A172="",$B$6=0),"",SUMIF($C$30:$C$179,$C172,$E$30:$E$179)/$B$6)</f>
        <v/>
      </c>
      <c r="J172" s="88" t="str">
        <f aca="false">IF(OR($A172="",$B$6=0),"",SUMIF($D$30:$D$179,$D172,$E$30:$E$179)/$B$6)</f>
        <v/>
      </c>
      <c r="K172" s="47" t="str">
        <f aca="false">IF(OR($A172="",N($E172)=0),"",IF($B$6&lt;'Start Here'!$B$10,"too few plants",IF(AND($H172&lt;=0.1,$I172&lt;=0.2,$J172&lt;=0.3),"ok",TRIM(IF($H172&gt;0.1,"SPECIES ","")&amp;IF($I172&gt;0.2,"GENUS ","")&amp;IF($J172&gt;0.3,"FAMILY","")))))</f>
        <v/>
      </c>
    </row>
    <row r="173" customFormat="false" ht="15" hidden="false" customHeight="true" outlineLevel="0" collapsed="false">
      <c r="A173" s="43" t="str">
        <f aca="false">IF(Palette!$A145="","",Palette!$A145)</f>
        <v/>
      </c>
      <c r="B173" s="47" t="str">
        <f aca="false">IF($A173="","",Palette!$K145)</f>
        <v/>
      </c>
      <c r="C173" s="47" t="str">
        <f aca="false">IF($A173="","",Palette!$C145)</f>
        <v/>
      </c>
      <c r="D173" s="47" t="str">
        <f aca="false">IF($A173="","",Palette!$D145)</f>
        <v/>
      </c>
      <c r="E173" s="42" t="str">
        <f aca="false">IF($A173="","",SUMIF('Install Log'!$G$3:$G$202,$A173,'Install Log'!$J$3:$J$202))</f>
        <v/>
      </c>
      <c r="F173" s="42" t="str">
        <f aca="false">IF($A173="","",SUMIF('Install Log'!$G$3:$G$202,$A173,'Install Log'!$R$3:$R$202))</f>
        <v/>
      </c>
      <c r="G173" s="85" t="str">
        <f aca="false">IF(OR($A173="",N($E173)=0),"",IFERROR($F173/SUMIFS('Install Log'!$J$3:$J$202,'Install Log'!$G$3:$G$202,$A173,'Install Log'!$R$3:$R$202,"&lt;&gt;"),"—"))</f>
        <v/>
      </c>
      <c r="H173" s="88" t="str">
        <f aca="false">IF(OR($A173="",$B$6=0),"",$E173/$B$6)</f>
        <v/>
      </c>
      <c r="I173" s="88" t="str">
        <f aca="false">IF(OR($A173="",$B$6=0),"",SUMIF($C$30:$C$179,$C173,$E$30:$E$179)/$B$6)</f>
        <v/>
      </c>
      <c r="J173" s="88" t="str">
        <f aca="false">IF(OR($A173="",$B$6=0),"",SUMIF($D$30:$D$179,$D173,$E$30:$E$179)/$B$6)</f>
        <v/>
      </c>
      <c r="K173" s="47" t="str">
        <f aca="false">IF(OR($A173="",N($E173)=0),"",IF($B$6&lt;'Start Here'!$B$10,"too few plants",IF(AND($H173&lt;=0.1,$I173&lt;=0.2,$J173&lt;=0.3),"ok",TRIM(IF($H173&gt;0.1,"SPECIES ","")&amp;IF($I173&gt;0.2,"GENUS ","")&amp;IF($J173&gt;0.3,"FAMILY","")))))</f>
        <v/>
      </c>
    </row>
    <row r="174" customFormat="false" ht="15" hidden="false" customHeight="true" outlineLevel="0" collapsed="false">
      <c r="A174" s="43" t="str">
        <f aca="false">IF(Palette!$A146="","",Palette!$A146)</f>
        <v/>
      </c>
      <c r="B174" s="47" t="str">
        <f aca="false">IF($A174="","",Palette!$K146)</f>
        <v/>
      </c>
      <c r="C174" s="47" t="str">
        <f aca="false">IF($A174="","",Palette!$C146)</f>
        <v/>
      </c>
      <c r="D174" s="47" t="str">
        <f aca="false">IF($A174="","",Palette!$D146)</f>
        <v/>
      </c>
      <c r="E174" s="42" t="str">
        <f aca="false">IF($A174="","",SUMIF('Install Log'!$G$3:$G$202,$A174,'Install Log'!$J$3:$J$202))</f>
        <v/>
      </c>
      <c r="F174" s="42" t="str">
        <f aca="false">IF($A174="","",SUMIF('Install Log'!$G$3:$G$202,$A174,'Install Log'!$R$3:$R$202))</f>
        <v/>
      </c>
      <c r="G174" s="85" t="str">
        <f aca="false">IF(OR($A174="",N($E174)=0),"",IFERROR($F174/SUMIFS('Install Log'!$J$3:$J$202,'Install Log'!$G$3:$G$202,$A174,'Install Log'!$R$3:$R$202,"&lt;&gt;"),"—"))</f>
        <v/>
      </c>
      <c r="H174" s="88" t="str">
        <f aca="false">IF(OR($A174="",$B$6=0),"",$E174/$B$6)</f>
        <v/>
      </c>
      <c r="I174" s="88" t="str">
        <f aca="false">IF(OR($A174="",$B$6=0),"",SUMIF($C$30:$C$179,$C174,$E$30:$E$179)/$B$6)</f>
        <v/>
      </c>
      <c r="J174" s="88" t="str">
        <f aca="false">IF(OR($A174="",$B$6=0),"",SUMIF($D$30:$D$179,$D174,$E$30:$E$179)/$B$6)</f>
        <v/>
      </c>
      <c r="K174" s="47" t="str">
        <f aca="false">IF(OR($A174="",N($E174)=0),"",IF($B$6&lt;'Start Here'!$B$10,"too few plants",IF(AND($H174&lt;=0.1,$I174&lt;=0.2,$J174&lt;=0.3),"ok",TRIM(IF($H174&gt;0.1,"SPECIES ","")&amp;IF($I174&gt;0.2,"GENUS ","")&amp;IF($J174&gt;0.3,"FAMILY","")))))</f>
        <v/>
      </c>
    </row>
    <row r="175" customFormat="false" ht="15" hidden="false" customHeight="true" outlineLevel="0" collapsed="false">
      <c r="A175" s="43" t="str">
        <f aca="false">IF(Palette!$A147="","",Palette!$A147)</f>
        <v/>
      </c>
      <c r="B175" s="47" t="str">
        <f aca="false">IF($A175="","",Palette!$K147)</f>
        <v/>
      </c>
      <c r="C175" s="47" t="str">
        <f aca="false">IF($A175="","",Palette!$C147)</f>
        <v/>
      </c>
      <c r="D175" s="47" t="str">
        <f aca="false">IF($A175="","",Palette!$D147)</f>
        <v/>
      </c>
      <c r="E175" s="42" t="str">
        <f aca="false">IF($A175="","",SUMIF('Install Log'!$G$3:$G$202,$A175,'Install Log'!$J$3:$J$202))</f>
        <v/>
      </c>
      <c r="F175" s="42" t="str">
        <f aca="false">IF($A175="","",SUMIF('Install Log'!$G$3:$G$202,$A175,'Install Log'!$R$3:$R$202))</f>
        <v/>
      </c>
      <c r="G175" s="85" t="str">
        <f aca="false">IF(OR($A175="",N($E175)=0),"",IFERROR($F175/SUMIFS('Install Log'!$J$3:$J$202,'Install Log'!$G$3:$G$202,$A175,'Install Log'!$R$3:$R$202,"&lt;&gt;"),"—"))</f>
        <v/>
      </c>
      <c r="H175" s="88" t="str">
        <f aca="false">IF(OR($A175="",$B$6=0),"",$E175/$B$6)</f>
        <v/>
      </c>
      <c r="I175" s="88" t="str">
        <f aca="false">IF(OR($A175="",$B$6=0),"",SUMIF($C$30:$C$179,$C175,$E$30:$E$179)/$B$6)</f>
        <v/>
      </c>
      <c r="J175" s="88" t="str">
        <f aca="false">IF(OR($A175="",$B$6=0),"",SUMIF($D$30:$D$179,$D175,$E$30:$E$179)/$B$6)</f>
        <v/>
      </c>
      <c r="K175" s="47" t="str">
        <f aca="false">IF(OR($A175="",N($E175)=0),"",IF($B$6&lt;'Start Here'!$B$10,"too few plants",IF(AND($H175&lt;=0.1,$I175&lt;=0.2,$J175&lt;=0.3),"ok",TRIM(IF($H175&gt;0.1,"SPECIES ","")&amp;IF($I175&gt;0.2,"GENUS ","")&amp;IF($J175&gt;0.3,"FAMILY","")))))</f>
        <v/>
      </c>
    </row>
    <row r="176" customFormat="false" ht="15" hidden="false" customHeight="true" outlineLevel="0" collapsed="false">
      <c r="A176" s="43" t="str">
        <f aca="false">IF(Palette!$A148="","",Palette!$A148)</f>
        <v/>
      </c>
      <c r="B176" s="47" t="str">
        <f aca="false">IF($A176="","",Palette!$K148)</f>
        <v/>
      </c>
      <c r="C176" s="47" t="str">
        <f aca="false">IF($A176="","",Palette!$C148)</f>
        <v/>
      </c>
      <c r="D176" s="47" t="str">
        <f aca="false">IF($A176="","",Palette!$D148)</f>
        <v/>
      </c>
      <c r="E176" s="42" t="str">
        <f aca="false">IF($A176="","",SUMIF('Install Log'!$G$3:$G$202,$A176,'Install Log'!$J$3:$J$202))</f>
        <v/>
      </c>
      <c r="F176" s="42" t="str">
        <f aca="false">IF($A176="","",SUMIF('Install Log'!$G$3:$G$202,$A176,'Install Log'!$R$3:$R$202))</f>
        <v/>
      </c>
      <c r="G176" s="85" t="str">
        <f aca="false">IF(OR($A176="",N($E176)=0),"",IFERROR($F176/SUMIFS('Install Log'!$J$3:$J$202,'Install Log'!$G$3:$G$202,$A176,'Install Log'!$R$3:$R$202,"&lt;&gt;"),"—"))</f>
        <v/>
      </c>
      <c r="H176" s="88" t="str">
        <f aca="false">IF(OR($A176="",$B$6=0),"",$E176/$B$6)</f>
        <v/>
      </c>
      <c r="I176" s="88" t="str">
        <f aca="false">IF(OR($A176="",$B$6=0),"",SUMIF($C$30:$C$179,$C176,$E$30:$E$179)/$B$6)</f>
        <v/>
      </c>
      <c r="J176" s="88" t="str">
        <f aca="false">IF(OR($A176="",$B$6=0),"",SUMIF($D$30:$D$179,$D176,$E$30:$E$179)/$B$6)</f>
        <v/>
      </c>
      <c r="K176" s="47" t="str">
        <f aca="false">IF(OR($A176="",N($E176)=0),"",IF($B$6&lt;'Start Here'!$B$10,"too few plants",IF(AND($H176&lt;=0.1,$I176&lt;=0.2,$J176&lt;=0.3),"ok",TRIM(IF($H176&gt;0.1,"SPECIES ","")&amp;IF($I176&gt;0.2,"GENUS ","")&amp;IF($J176&gt;0.3,"FAMILY","")))))</f>
        <v/>
      </c>
    </row>
    <row r="177" customFormat="false" ht="15" hidden="false" customHeight="true" outlineLevel="0" collapsed="false">
      <c r="A177" s="43" t="str">
        <f aca="false">IF(Palette!$A149="","",Palette!$A149)</f>
        <v/>
      </c>
      <c r="B177" s="47" t="str">
        <f aca="false">IF($A177="","",Palette!$K149)</f>
        <v/>
      </c>
      <c r="C177" s="47" t="str">
        <f aca="false">IF($A177="","",Palette!$C149)</f>
        <v/>
      </c>
      <c r="D177" s="47" t="str">
        <f aca="false">IF($A177="","",Palette!$D149)</f>
        <v/>
      </c>
      <c r="E177" s="42" t="str">
        <f aca="false">IF($A177="","",SUMIF('Install Log'!$G$3:$G$202,$A177,'Install Log'!$J$3:$J$202))</f>
        <v/>
      </c>
      <c r="F177" s="42" t="str">
        <f aca="false">IF($A177="","",SUMIF('Install Log'!$G$3:$G$202,$A177,'Install Log'!$R$3:$R$202))</f>
        <v/>
      </c>
      <c r="G177" s="85" t="str">
        <f aca="false">IF(OR($A177="",N($E177)=0),"",IFERROR($F177/SUMIFS('Install Log'!$J$3:$J$202,'Install Log'!$G$3:$G$202,$A177,'Install Log'!$R$3:$R$202,"&lt;&gt;"),"—"))</f>
        <v/>
      </c>
      <c r="H177" s="88" t="str">
        <f aca="false">IF(OR($A177="",$B$6=0),"",$E177/$B$6)</f>
        <v/>
      </c>
      <c r="I177" s="88" t="str">
        <f aca="false">IF(OR($A177="",$B$6=0),"",SUMIF($C$30:$C$179,$C177,$E$30:$E$179)/$B$6)</f>
        <v/>
      </c>
      <c r="J177" s="88" t="str">
        <f aca="false">IF(OR($A177="",$B$6=0),"",SUMIF($D$30:$D$179,$D177,$E$30:$E$179)/$B$6)</f>
        <v/>
      </c>
      <c r="K177" s="47" t="str">
        <f aca="false">IF(OR($A177="",N($E177)=0),"",IF($B$6&lt;'Start Here'!$B$10,"too few plants",IF(AND($H177&lt;=0.1,$I177&lt;=0.2,$J177&lt;=0.3),"ok",TRIM(IF($H177&gt;0.1,"SPECIES ","")&amp;IF($I177&gt;0.2,"GENUS ","")&amp;IF($J177&gt;0.3,"FAMILY","")))))</f>
        <v/>
      </c>
    </row>
    <row r="178" customFormat="false" ht="15" hidden="false" customHeight="true" outlineLevel="0" collapsed="false">
      <c r="A178" s="43" t="str">
        <f aca="false">IF(Palette!$A150="","",Palette!$A150)</f>
        <v/>
      </c>
      <c r="B178" s="47" t="str">
        <f aca="false">IF($A178="","",Palette!$K150)</f>
        <v/>
      </c>
      <c r="C178" s="47" t="str">
        <f aca="false">IF($A178="","",Palette!$C150)</f>
        <v/>
      </c>
      <c r="D178" s="47" t="str">
        <f aca="false">IF($A178="","",Palette!$D150)</f>
        <v/>
      </c>
      <c r="E178" s="42" t="str">
        <f aca="false">IF($A178="","",SUMIF('Install Log'!$G$3:$G$202,$A178,'Install Log'!$J$3:$J$202))</f>
        <v/>
      </c>
      <c r="F178" s="42" t="str">
        <f aca="false">IF($A178="","",SUMIF('Install Log'!$G$3:$G$202,$A178,'Install Log'!$R$3:$R$202))</f>
        <v/>
      </c>
      <c r="G178" s="85" t="str">
        <f aca="false">IF(OR($A178="",N($E178)=0),"",IFERROR($F178/SUMIFS('Install Log'!$J$3:$J$202,'Install Log'!$G$3:$G$202,$A178,'Install Log'!$R$3:$R$202,"&lt;&gt;"),"—"))</f>
        <v/>
      </c>
      <c r="H178" s="88" t="str">
        <f aca="false">IF(OR($A178="",$B$6=0),"",$E178/$B$6)</f>
        <v/>
      </c>
      <c r="I178" s="88" t="str">
        <f aca="false">IF(OR($A178="",$B$6=0),"",SUMIF($C$30:$C$179,$C178,$E$30:$E$179)/$B$6)</f>
        <v/>
      </c>
      <c r="J178" s="88" t="str">
        <f aca="false">IF(OR($A178="",$B$6=0),"",SUMIF($D$30:$D$179,$D178,$E$30:$E$179)/$B$6)</f>
        <v/>
      </c>
      <c r="K178" s="47" t="str">
        <f aca="false">IF(OR($A178="",N($E178)=0),"",IF($B$6&lt;'Start Here'!$B$10,"too few plants",IF(AND($H178&lt;=0.1,$I178&lt;=0.2,$J178&lt;=0.3),"ok",TRIM(IF($H178&gt;0.1,"SPECIES ","")&amp;IF($I178&gt;0.2,"GENUS ","")&amp;IF($J178&gt;0.3,"FAMILY","")))))</f>
        <v/>
      </c>
    </row>
    <row r="179" customFormat="false" ht="15" hidden="false" customHeight="true" outlineLevel="0" collapsed="false">
      <c r="A179" s="43" t="str">
        <f aca="false">IF(Palette!$A151="","",Palette!$A151)</f>
        <v/>
      </c>
      <c r="B179" s="47" t="str">
        <f aca="false">IF($A179="","",Palette!$K151)</f>
        <v/>
      </c>
      <c r="C179" s="47" t="str">
        <f aca="false">IF($A179="","",Palette!$C151)</f>
        <v/>
      </c>
      <c r="D179" s="47" t="str">
        <f aca="false">IF($A179="","",Palette!$D151)</f>
        <v/>
      </c>
      <c r="E179" s="42" t="str">
        <f aca="false">IF($A179="","",SUMIF('Install Log'!$G$3:$G$202,$A179,'Install Log'!$J$3:$J$202))</f>
        <v/>
      </c>
      <c r="F179" s="42" t="str">
        <f aca="false">IF($A179="","",SUMIF('Install Log'!$G$3:$G$202,$A179,'Install Log'!$R$3:$R$202))</f>
        <v/>
      </c>
      <c r="G179" s="85" t="str">
        <f aca="false">IF(OR($A179="",N($E179)=0),"",IFERROR($F179/SUMIFS('Install Log'!$J$3:$J$202,'Install Log'!$G$3:$G$202,$A179,'Install Log'!$R$3:$R$202,"&lt;&gt;"),"—"))</f>
        <v/>
      </c>
      <c r="H179" s="88" t="str">
        <f aca="false">IF(OR($A179="",$B$6=0),"",$E179/$B$6)</f>
        <v/>
      </c>
      <c r="I179" s="88" t="str">
        <f aca="false">IF(OR($A179="",$B$6=0),"",SUMIF($C$30:$C$179,$C179,$E$30:$E$179)/$B$6)</f>
        <v/>
      </c>
      <c r="J179" s="88" t="str">
        <f aca="false">IF(OR($A179="",$B$6=0),"",SUMIF($D$30:$D$179,$D179,$E$30:$E$179)/$B$6)</f>
        <v/>
      </c>
      <c r="K179" s="47" t="str">
        <f aca="false">IF(OR($A179="",N($E179)=0),"",IF($B$6&lt;'Start Here'!$B$10,"too few plants",IF(AND($H179&lt;=0.1,$I179&lt;=0.2,$J179&lt;=0.3),"ok",TRIM(IF($H179&gt;0.1,"SPECIES ","")&amp;IF($I179&gt;0.2,"GENUS ","")&amp;IF($J179&gt;0.3,"FAMILY","")))))</f>
        <v/>
      </c>
    </row>
    <row r="181" customFormat="false" ht="15.75" hidden="false" customHeight="true" outlineLevel="0" collapsed="false">
      <c r="A181" s="4" t="s">
        <v>1061</v>
      </c>
      <c r="B181" s="4"/>
      <c r="C181" s="4"/>
      <c r="D181" s="4"/>
      <c r="E181" s="4"/>
      <c r="F181" s="4"/>
      <c r="G181" s="4"/>
      <c r="H181" s="4"/>
      <c r="I181" s="4"/>
      <c r="J181" s="4"/>
      <c r="K181" s="4"/>
    </row>
    <row r="182" customFormat="false" ht="27.75" hidden="false" customHeight="true" outlineLevel="0" collapsed="false">
      <c r="A182" s="17" t="str">
        <f aca="false">"Oaks (Quercus): "&amp;COUNTIFS(Palette!$C$2:$C$151,"Quercus",Palette!$K$2:$K$151,"A")+COUNTIFS(Palette!$C$2:$C$151,"Quercus",Palette!$K$2:$K$151,"B")&amp;" specifiable species. Oaks lead the Group 1 clay list, so the 20% genus cap binds first on wet sites. Use Pacific crabapple and non-oak shrubs between oaks."</f>
        <v>Oaks (Quercus): 6 specifiable species. Oaks lead the Group 1 clay list, so the 20% genus cap binds first on wet sites. Use Pacific crabapple and non-oak shrubs between oaks.</v>
      </c>
      <c r="B182" s="17"/>
      <c r="C182" s="17"/>
      <c r="D182" s="17"/>
      <c r="E182" s="17"/>
      <c r="F182" s="17"/>
      <c r="G182" s="17"/>
      <c r="H182" s="17"/>
      <c r="I182" s="17"/>
      <c r="J182" s="17"/>
      <c r="K182" s="17"/>
    </row>
    <row r="183" customFormat="false" ht="27.75" hidden="false" customHeight="true" outlineLevel="0" collapsed="false">
      <c r="A183" s="17" t="str">
        <f aca="false">"Rose family (Rosaceae): "&amp;COUNTIFS(Palette!$D$2:$D$151,"Rosaceae",Palette!$K$2:$K$151,"A")+COUNTIFS(Palette!$D$2:$D$151,"Rosaceae",Palette!$K$2:$K$151,"B")&amp;" specifiable species. Most wet-site natives are in this family, so the 30% family cap binds first in Group 1 hedgerows."</f>
        <v>Rose family (Rosaceae): 7 specifiable species. Most wet-site natives are in this family, so the 30% family cap binds first in Group 1 hedgerows.</v>
      </c>
      <c r="B183" s="17"/>
      <c r="C183" s="17"/>
      <c r="D183" s="17"/>
      <c r="E183" s="17"/>
      <c r="F183" s="17"/>
      <c r="G183" s="17"/>
      <c r="H183" s="17"/>
      <c r="I183" s="17"/>
      <c r="J183" s="17"/>
      <c r="K183" s="17"/>
    </row>
    <row r="184" customFormat="false" ht="15.75" hidden="false" customHeight="true" outlineLevel="0" collapsed="false">
      <c r="A184" s="18" t="s">
        <v>1062</v>
      </c>
      <c r="B184" s="18"/>
      <c r="C184" s="18"/>
      <c r="D184" s="18"/>
      <c r="E184" s="18"/>
      <c r="F184" s="18"/>
      <c r="G184" s="18"/>
      <c r="H184" s="18"/>
      <c r="I184" s="18"/>
      <c r="J184" s="18"/>
      <c r="K184" s="18"/>
    </row>
  </sheetData>
  <autoFilter ref="A29:K179"/>
  <mergeCells count="20">
    <mergeCell ref="A1:K1"/>
    <mergeCell ref="A2:K2"/>
    <mergeCell ref="A4:K4"/>
    <mergeCell ref="B5:C5"/>
    <mergeCell ref="B6:C6"/>
    <mergeCell ref="B7:C7"/>
    <mergeCell ref="B8:C8"/>
    <mergeCell ref="B9:C9"/>
    <mergeCell ref="B10:C10"/>
    <mergeCell ref="B11:C11"/>
    <mergeCell ref="B12:C12"/>
    <mergeCell ref="B13:C13"/>
    <mergeCell ref="A15:K15"/>
    <mergeCell ref="A21:K21"/>
    <mergeCell ref="A27:K27"/>
    <mergeCell ref="A28:K28"/>
    <mergeCell ref="A181:K181"/>
    <mergeCell ref="A182:K182"/>
    <mergeCell ref="A183:K183"/>
    <mergeCell ref="A184:K184"/>
  </mergeCells>
  <conditionalFormatting sqref="B10">
    <cfRule type="expression" priority="2" aboveAverage="0" equalAverage="0" bottom="0" percent="0" rank="0" text="" dxfId="0">
      <formula>B10&gt;0</formula>
    </cfRule>
  </conditionalFormatting>
  <conditionalFormatting sqref="B12">
    <cfRule type="expression" priority="3" aboveAverage="0" equalAverage="0" bottom="0" percent="0" rank="0" text="" dxfId="0">
      <formula>B12&gt;0</formula>
    </cfRule>
  </conditionalFormatting>
  <conditionalFormatting sqref="B13">
    <cfRule type="expression" priority="4" aboveAverage="0" equalAverage="0" bottom="0" percent="0" rank="0" text="" dxfId="1">
      <formula>B13&gt;0</formula>
    </cfRule>
  </conditionalFormatting>
  <conditionalFormatting sqref="B11">
    <cfRule type="expression" priority="5" aboveAverage="0" equalAverage="0" bottom="0" percent="0" rank="0" text="" dxfId="1">
      <formula>AND(ISNUMBER(B11),B11&gt;'Start Here'!$B$9)</formula>
    </cfRule>
  </conditionalFormatting>
  <conditionalFormatting sqref="K30:K179">
    <cfRule type="expression" priority="6" aboveAverage="0" equalAverage="0" bottom="0" percent="0" rank="0" text="" dxfId="0">
      <formula>OR(ISNUMBER(SEARCH("SPECIES",K30)),ISNUMBER(SEARCH("GENUS",K30)),ISNUMBER(SEARCH("FAMILY",K30)))</formula>
    </cfRule>
  </conditionalFormatting>
  <conditionalFormatting sqref="G30:G179">
    <cfRule type="expression" priority="7" aboveAverage="0" equalAverage="0" bottom="0" percent="0" rank="0" text="" dxfId="0">
      <formula>AND(ISNUMBER(G30),G30&lt;0.7)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92"/>
  </cols>
  <sheetData>
    <row r="1" customFormat="false" ht="21.75" hidden="false" customHeight="true" outlineLevel="0" collapsed="false">
      <c r="A1" s="20" t="s">
        <v>1063</v>
      </c>
      <c r="B1" s="20"/>
      <c r="C1" s="20"/>
    </row>
    <row r="2" customFormat="false" ht="15.75" hidden="false" customHeight="true" outlineLevel="0" collapsed="false">
      <c r="A2" s="4" t="s">
        <v>1064</v>
      </c>
      <c r="B2" s="4"/>
      <c r="C2" s="4"/>
    </row>
    <row r="3" customFormat="false" ht="21.75" hidden="false" customHeight="true" outlineLevel="0" collapsed="false">
      <c r="A3" s="19" t="s">
        <v>1065</v>
      </c>
      <c r="B3" s="17" t="s">
        <v>1066</v>
      </c>
      <c r="C3" s="17"/>
    </row>
    <row r="4" customFormat="false" ht="21.75" hidden="false" customHeight="true" outlineLevel="0" collapsed="false">
      <c r="A4" s="19" t="s">
        <v>1067</v>
      </c>
      <c r="B4" s="17" t="s">
        <v>1068</v>
      </c>
      <c r="C4" s="17"/>
    </row>
    <row r="5" customFormat="false" ht="21.75" hidden="false" customHeight="true" outlineLevel="0" collapsed="false">
      <c r="A5" s="19" t="s">
        <v>1069</v>
      </c>
      <c r="B5" s="17" t="s">
        <v>1070</v>
      </c>
      <c r="C5" s="17"/>
    </row>
    <row r="6" customFormat="false" ht="21.75" hidden="false" customHeight="true" outlineLevel="0" collapsed="false">
      <c r="A6" s="19" t="s">
        <v>735</v>
      </c>
      <c r="B6" s="17" t="s">
        <v>1071</v>
      </c>
      <c r="C6" s="17"/>
    </row>
    <row r="7" customFormat="false" ht="25.5" hidden="false" customHeight="true" outlineLevel="0" collapsed="false">
      <c r="A7" s="19" t="s">
        <v>1072</v>
      </c>
      <c r="B7" s="17" t="s">
        <v>1073</v>
      </c>
      <c r="C7" s="17"/>
    </row>
    <row r="9" customFormat="false" ht="15.75" hidden="false" customHeight="true" outlineLevel="0" collapsed="false">
      <c r="A9" s="4" t="s">
        <v>1074</v>
      </c>
      <c r="B9" s="4"/>
      <c r="C9" s="4"/>
    </row>
    <row r="10" customFormat="false" ht="51.75" hidden="false" customHeight="true" outlineLevel="0" collapsed="false">
      <c r="A10" s="19" t="s">
        <v>1075</v>
      </c>
      <c r="B10" s="17" t="s">
        <v>1076</v>
      </c>
      <c r="C10" s="17"/>
    </row>
    <row r="11" customFormat="false" ht="15.75" hidden="false" customHeight="true" outlineLevel="0" collapsed="false">
      <c r="A11" s="19" t="s">
        <v>1077</v>
      </c>
      <c r="B11" s="17" t="s">
        <v>1078</v>
      </c>
      <c r="C11" s="17"/>
    </row>
    <row r="13" customFormat="false" ht="15.75" hidden="false" customHeight="true" outlineLevel="0" collapsed="false">
      <c r="A13" s="4" t="s">
        <v>1079</v>
      </c>
      <c r="B13" s="4"/>
      <c r="C13" s="4"/>
    </row>
    <row r="14" customFormat="false" ht="15.75" hidden="false" customHeight="true" outlineLevel="0" collapsed="false">
      <c r="A14" s="19" t="s">
        <v>426</v>
      </c>
      <c r="B14" s="17" t="s">
        <v>1080</v>
      </c>
      <c r="C14" s="17"/>
    </row>
    <row r="15" customFormat="false" ht="27.75" hidden="false" customHeight="true" outlineLevel="0" collapsed="false">
      <c r="A15" s="19" t="s">
        <v>569</v>
      </c>
      <c r="B15" s="17" t="s">
        <v>1081</v>
      </c>
      <c r="C15" s="17"/>
    </row>
    <row r="17" customFormat="false" ht="15.75" hidden="false" customHeight="true" outlineLevel="0" collapsed="false">
      <c r="A17" s="4" t="s">
        <v>1082</v>
      </c>
      <c r="B17" s="4"/>
      <c r="C17" s="4"/>
    </row>
    <row r="18" customFormat="false" ht="39.75" hidden="false" customHeight="true" outlineLevel="0" collapsed="false">
      <c r="A18" s="19" t="s">
        <v>1083</v>
      </c>
      <c r="B18" s="17" t="s">
        <v>1084</v>
      </c>
      <c r="C18" s="17"/>
    </row>
    <row r="19" customFormat="false" ht="39.75" hidden="false" customHeight="true" outlineLevel="0" collapsed="false">
      <c r="A19" s="19" t="s">
        <v>1085</v>
      </c>
      <c r="B19" s="17" t="s">
        <v>1086</v>
      </c>
      <c r="C19" s="17"/>
    </row>
    <row r="20" customFormat="false" ht="39.75" hidden="false" customHeight="true" outlineLevel="0" collapsed="false">
      <c r="A20" s="19" t="s">
        <v>1087</v>
      </c>
      <c r="B20" s="17" t="s">
        <v>1088</v>
      </c>
      <c r="C20" s="17"/>
    </row>
    <row r="21" customFormat="false" ht="39.75" hidden="false" customHeight="true" outlineLevel="0" collapsed="false">
      <c r="A21" s="19" t="s">
        <v>1089</v>
      </c>
      <c r="B21" s="17" t="s">
        <v>1090</v>
      </c>
      <c r="C21" s="17"/>
    </row>
    <row r="23" customFormat="false" ht="15.75" hidden="false" customHeight="true" outlineLevel="0" collapsed="false">
      <c r="A23" s="4" t="s">
        <v>1091</v>
      </c>
      <c r="B23" s="4"/>
      <c r="C23" s="4"/>
    </row>
    <row r="24" customFormat="false" ht="15" hidden="false" customHeight="true" outlineLevel="0" collapsed="false">
      <c r="A24" s="64" t="s">
        <v>1092</v>
      </c>
      <c r="B24" s="64" t="s">
        <v>890</v>
      </c>
      <c r="C24" s="64" t="s">
        <v>176</v>
      </c>
    </row>
    <row r="25" customFormat="false" ht="15" hidden="false" customHeight="true" outlineLevel="0" collapsed="false">
      <c r="A25" s="43" t="s">
        <v>1093</v>
      </c>
      <c r="B25" s="89" t="n">
        <f aca="false">COUNTA(Palette!$A$2:$A$151)</f>
        <v>48</v>
      </c>
      <c r="C25" s="38" t="s">
        <v>1094</v>
      </c>
    </row>
    <row r="26" customFormat="false" ht="15" hidden="false" customHeight="true" outlineLevel="0" collapsed="false">
      <c r="A26" s="43" t="s">
        <v>1052</v>
      </c>
      <c r="B26" s="89" t="n">
        <f aca="false">COUNTIF(Palette!$K$2:$K$151,"A")</f>
        <v>30</v>
      </c>
      <c r="C26" s="38" t="s">
        <v>1095</v>
      </c>
    </row>
    <row r="27" customFormat="false" ht="15" hidden="false" customHeight="true" outlineLevel="0" collapsed="false">
      <c r="A27" s="43" t="s">
        <v>1053</v>
      </c>
      <c r="B27" s="89" t="n">
        <f aca="false">COUNTIF(Palette!$K$2:$K$151,"B")</f>
        <v>10</v>
      </c>
      <c r="C27" s="38" t="s">
        <v>1096</v>
      </c>
    </row>
    <row r="28" customFormat="false" ht="15" hidden="false" customHeight="true" outlineLevel="0" collapsed="false">
      <c r="A28" s="43" t="s">
        <v>1097</v>
      </c>
      <c r="B28" s="89" t="n">
        <f aca="false">COUNTIF(Palette!$K$2:$K$151,"C")+COUNTIF(Palette!$K$2:$K$151,"Reject")</f>
        <v>8</v>
      </c>
      <c r="C28" s="38" t="s">
        <v>1098</v>
      </c>
    </row>
    <row r="29" customFormat="false" ht="15" hidden="false" customHeight="true" outlineLevel="0" collapsed="false">
      <c r="A29" s="43" t="s">
        <v>1099</v>
      </c>
      <c r="B29" s="89" t="n">
        <f aca="false">COUNTIF(Palette!$L$2:$L$151,"Yes")</f>
        <v>22</v>
      </c>
      <c r="C29" s="38" t="s">
        <v>1100</v>
      </c>
    </row>
    <row r="30" customFormat="false" ht="15" hidden="false" customHeight="true" outlineLevel="0" collapsed="false">
      <c r="A30" s="43" t="s">
        <v>1101</v>
      </c>
      <c r="B30" s="89" t="n">
        <f aca="false">COUNTIF(Palette!$M$2:$M$151,"Yes")</f>
        <v>32</v>
      </c>
      <c r="C30" s="38" t="s">
        <v>1102</v>
      </c>
    </row>
    <row r="31" customFormat="false" ht="15" hidden="false" customHeight="true" outlineLevel="0" collapsed="false">
      <c r="A31" s="43" t="s">
        <v>1103</v>
      </c>
      <c r="B31" s="89" t="n">
        <f aca="false">COUNTIF(Palette!$N$2:$N$151,"Yes")</f>
        <v>28</v>
      </c>
      <c r="C31" s="38" t="s">
        <v>1104</v>
      </c>
    </row>
    <row r="32" customFormat="false" ht="15" hidden="false" customHeight="true" outlineLevel="0" collapsed="false">
      <c r="A32" s="43" t="s">
        <v>569</v>
      </c>
      <c r="B32" s="89" t="n">
        <f aca="false">COUNTIF(Palette!$P$2:$P$151,"Drought-adapted")</f>
        <v>8</v>
      </c>
      <c r="C32" s="38" t="s">
        <v>1105</v>
      </c>
    </row>
    <row r="33" customFormat="false" ht="15" hidden="false" customHeight="true" outlineLevel="0" collapsed="false">
      <c r="A33" s="43" t="s">
        <v>1106</v>
      </c>
      <c r="B33" s="89" t="n">
        <f aca="false">COUNTIF(Palette!$Q$2:$Q$151,"&gt;=4")</f>
        <v>3</v>
      </c>
      <c r="C33" s="38" t="s">
        <v>1107</v>
      </c>
    </row>
    <row r="34" customFormat="false" ht="15" hidden="false" customHeight="true" outlineLevel="0" collapsed="false">
      <c r="A34" s="43" t="s">
        <v>1108</v>
      </c>
      <c r="B34" s="89" t="n">
        <f aca="true">COUNTIFS(Palette!$U$2:$U$151,"&lt;"&amp;TODAY()+90)</f>
        <v>0</v>
      </c>
      <c r="C34" s="38" t="s">
        <v>1109</v>
      </c>
    </row>
    <row r="36" customFormat="false" ht="15.75" hidden="false" customHeight="true" outlineLevel="0" collapsed="false">
      <c r="A36" s="4" t="s">
        <v>1110</v>
      </c>
      <c r="B36" s="4"/>
      <c r="C36" s="4"/>
    </row>
    <row r="37" customFormat="false" ht="30" hidden="false" customHeight="true" outlineLevel="0" collapsed="false">
      <c r="A37" s="19" t="s">
        <v>1111</v>
      </c>
      <c r="B37" s="17" t="s">
        <v>1112</v>
      </c>
      <c r="C37" s="17"/>
    </row>
    <row r="38" customFormat="false" ht="30" hidden="false" customHeight="true" outlineLevel="0" collapsed="false">
      <c r="A38" s="19" t="s">
        <v>1113</v>
      </c>
      <c r="B38" s="17" t="s">
        <v>1114</v>
      </c>
      <c r="C38" s="17"/>
    </row>
    <row r="39" customFormat="false" ht="30" hidden="false" customHeight="true" outlineLevel="0" collapsed="false">
      <c r="A39" s="19" t="s">
        <v>1115</v>
      </c>
      <c r="B39" s="17" t="s">
        <v>1116</v>
      </c>
      <c r="C39" s="17"/>
    </row>
    <row r="40" customFormat="false" ht="30" hidden="false" customHeight="true" outlineLevel="0" collapsed="false">
      <c r="A40" s="19" t="s">
        <v>1117</v>
      </c>
      <c r="B40" s="17" t="s">
        <v>1118</v>
      </c>
      <c r="C40" s="17"/>
    </row>
    <row r="41" customFormat="false" ht="30" hidden="false" customHeight="true" outlineLevel="0" collapsed="false">
      <c r="A41" s="19" t="s">
        <v>1119</v>
      </c>
      <c r="B41" s="17" t="s">
        <v>1120</v>
      </c>
      <c r="C41" s="17"/>
    </row>
    <row r="42" customFormat="false" ht="30" hidden="false" customHeight="true" outlineLevel="0" collapsed="false">
      <c r="A42" s="19" t="s">
        <v>1121</v>
      </c>
      <c r="B42" s="17" t="s">
        <v>1122</v>
      </c>
      <c r="C42" s="17"/>
    </row>
    <row r="44" customFormat="false" ht="15.75" hidden="false" customHeight="true" outlineLevel="0" collapsed="false">
      <c r="A44" s="4" t="s">
        <v>1123</v>
      </c>
      <c r="B44" s="4"/>
      <c r="C44" s="4"/>
    </row>
    <row r="45" customFormat="false" ht="39.75" hidden="false" customHeight="true" outlineLevel="0" collapsed="false">
      <c r="A45" s="19" t="s">
        <v>1124</v>
      </c>
      <c r="B45" s="17" t="s">
        <v>1125</v>
      </c>
      <c r="C45" s="17"/>
    </row>
    <row r="46" customFormat="false" ht="39.75" hidden="false" customHeight="true" outlineLevel="0" collapsed="false">
      <c r="A46" s="19" t="s">
        <v>1126</v>
      </c>
      <c r="B46" s="17" t="s">
        <v>1127</v>
      </c>
      <c r="C46" s="17"/>
    </row>
    <row r="47" customFormat="false" ht="39.75" hidden="false" customHeight="true" outlineLevel="0" collapsed="false">
      <c r="A47" s="19" t="s">
        <v>1128</v>
      </c>
      <c r="B47" s="17" t="s">
        <v>1129</v>
      </c>
      <c r="C47" s="17"/>
    </row>
    <row r="48" customFormat="false" ht="39.75" hidden="false" customHeight="true" outlineLevel="0" collapsed="false">
      <c r="A48" s="19" t="s">
        <v>1130</v>
      </c>
      <c r="B48" s="17" t="s">
        <v>1131</v>
      </c>
      <c r="C48" s="17"/>
    </row>
    <row r="49" customFormat="false" ht="39.75" hidden="false" customHeight="true" outlineLevel="0" collapsed="false">
      <c r="A49" s="19" t="s">
        <v>1132</v>
      </c>
      <c r="B49" s="17" t="s">
        <v>1133</v>
      </c>
      <c r="C49" s="17"/>
    </row>
    <row r="50" customFormat="false" ht="39.75" hidden="false" customHeight="true" outlineLevel="0" collapsed="false">
      <c r="A50" s="19" t="s">
        <v>1134</v>
      </c>
      <c r="B50" s="17" t="s">
        <v>1135</v>
      </c>
      <c r="C50" s="17"/>
    </row>
    <row r="51" customFormat="false" ht="30" hidden="false" customHeight="true" outlineLevel="0" collapsed="false">
      <c r="A51" s="19" t="s">
        <v>1136</v>
      </c>
      <c r="B51" s="17" t="s">
        <v>1137</v>
      </c>
      <c r="C51" s="17"/>
    </row>
    <row r="52" customFormat="false" ht="25.5" hidden="false" customHeight="true" outlineLevel="0" collapsed="false">
      <c r="A52" s="19" t="s">
        <v>1138</v>
      </c>
      <c r="B52" s="17" t="s">
        <v>1139</v>
      </c>
      <c r="C52" s="17"/>
    </row>
    <row r="53" customFormat="false" ht="25.5" hidden="false" customHeight="true" outlineLevel="0" collapsed="false">
      <c r="A53" s="19" t="s">
        <v>381</v>
      </c>
      <c r="B53" s="17" t="s">
        <v>1140</v>
      </c>
      <c r="C53" s="17"/>
    </row>
    <row r="54" customFormat="false" ht="25.5" hidden="false" customHeight="true" outlineLevel="0" collapsed="false">
      <c r="A54" s="19" t="s">
        <v>1141</v>
      </c>
      <c r="B54" s="17" t="s">
        <v>1142</v>
      </c>
      <c r="C54" s="17"/>
    </row>
    <row r="55" customFormat="false" ht="25.5" hidden="false" customHeight="true" outlineLevel="0" collapsed="false">
      <c r="A55" s="19" t="s">
        <v>1143</v>
      </c>
      <c r="B55" s="17" t="s">
        <v>1144</v>
      </c>
      <c r="C55" s="17"/>
    </row>
  </sheetData>
  <mergeCells count="38">
    <mergeCell ref="A1:C1"/>
    <mergeCell ref="A2:C2"/>
    <mergeCell ref="B3:C3"/>
    <mergeCell ref="B4:C4"/>
    <mergeCell ref="B5:C5"/>
    <mergeCell ref="B6:C6"/>
    <mergeCell ref="B7:C7"/>
    <mergeCell ref="A9:C9"/>
    <mergeCell ref="B10:C10"/>
    <mergeCell ref="B11:C11"/>
    <mergeCell ref="A13:C13"/>
    <mergeCell ref="B14:C14"/>
    <mergeCell ref="B15:C15"/>
    <mergeCell ref="A17:C17"/>
    <mergeCell ref="B18:C18"/>
    <mergeCell ref="B19:C19"/>
    <mergeCell ref="B20:C20"/>
    <mergeCell ref="B21:C21"/>
    <mergeCell ref="A23:C23"/>
    <mergeCell ref="A36:C36"/>
    <mergeCell ref="B37:C37"/>
    <mergeCell ref="B38:C38"/>
    <mergeCell ref="B39:C39"/>
    <mergeCell ref="B40:C40"/>
    <mergeCell ref="B41:C41"/>
    <mergeCell ref="B42:C42"/>
    <mergeCell ref="A44:C44"/>
    <mergeCell ref="B45:C45"/>
    <mergeCell ref="B46:C46"/>
    <mergeCell ref="B47:C47"/>
    <mergeCell ref="B48:C48"/>
    <mergeCell ref="B49:C49"/>
    <mergeCell ref="B50:C50"/>
    <mergeCell ref="B51:C51"/>
    <mergeCell ref="B52:C52"/>
    <mergeCell ref="B53:C53"/>
    <mergeCell ref="B54:C54"/>
    <mergeCell ref="B55:C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22"/>
    <col collapsed="false" customWidth="true" hidden="false" outlineLevel="0" max="13" min="10" style="1" width="20"/>
  </cols>
  <sheetData>
    <row r="1" customFormat="false" ht="15" hidden="false" customHeight="true" outlineLevel="0" collapsed="false">
      <c r="A1" s="90" t="s">
        <v>1145</v>
      </c>
      <c r="B1" s="90" t="s">
        <v>403</v>
      </c>
      <c r="C1" s="90" t="s">
        <v>1146</v>
      </c>
      <c r="D1" s="90" t="s">
        <v>1147</v>
      </c>
      <c r="E1" s="90" t="s">
        <v>138</v>
      </c>
      <c r="F1" s="90" t="s">
        <v>408</v>
      </c>
      <c r="G1" s="90" t="s">
        <v>985</v>
      </c>
      <c r="H1" s="90" t="s">
        <v>993</v>
      </c>
      <c r="I1" s="90" t="s">
        <v>136</v>
      </c>
      <c r="J1" s="90" t="s">
        <v>1148</v>
      </c>
      <c r="K1" s="90" t="s">
        <v>1149</v>
      </c>
      <c r="L1" s="90" t="s">
        <v>1150</v>
      </c>
      <c r="M1" s="90" t="s">
        <v>1151</v>
      </c>
    </row>
    <row r="2" customFormat="false" ht="15" hidden="false" customHeight="true" outlineLevel="0" collapsed="false">
      <c r="A2" s="91" t="s">
        <v>421</v>
      </c>
      <c r="B2" s="91" t="s">
        <v>423</v>
      </c>
      <c r="C2" s="91" t="s">
        <v>424</v>
      </c>
      <c r="D2" s="91" t="n">
        <v>1</v>
      </c>
      <c r="E2" s="91" t="n">
        <v>5</v>
      </c>
      <c r="F2" s="91" t="s">
        <v>426</v>
      </c>
      <c r="G2" s="91" t="s">
        <v>127</v>
      </c>
      <c r="H2" s="91" t="s">
        <v>1152</v>
      </c>
      <c r="I2" s="91" t="s">
        <v>186</v>
      </c>
      <c r="J2" s="91" t="s">
        <v>422</v>
      </c>
      <c r="K2" s="91" t="s">
        <v>1153</v>
      </c>
      <c r="L2" s="91" t="s">
        <v>1028</v>
      </c>
      <c r="M2" s="91" t="s">
        <v>1154</v>
      </c>
    </row>
    <row r="3" customFormat="false" ht="15" hidden="false" customHeight="true" outlineLevel="0" collapsed="false">
      <c r="A3" s="91" t="s">
        <v>422</v>
      </c>
      <c r="B3" s="91" t="s">
        <v>641</v>
      </c>
      <c r="C3" s="91" t="s">
        <v>436</v>
      </c>
      <c r="D3" s="91" t="n">
        <v>2</v>
      </c>
      <c r="E3" s="91" t="n">
        <v>4</v>
      </c>
      <c r="F3" s="91" t="s">
        <v>569</v>
      </c>
      <c r="G3" s="91" t="s">
        <v>1155</v>
      </c>
      <c r="H3" s="91" t="s">
        <v>1000</v>
      </c>
      <c r="I3" s="91" t="s">
        <v>179</v>
      </c>
      <c r="J3" s="91" t="s">
        <v>1156</v>
      </c>
      <c r="K3" s="91" t="s">
        <v>1027</v>
      </c>
      <c r="L3" s="91" t="s">
        <v>1026</v>
      </c>
      <c r="M3" s="91" t="s">
        <v>1029</v>
      </c>
    </row>
    <row r="4" customFormat="false" ht="15" hidden="false" customHeight="true" outlineLevel="0" collapsed="false">
      <c r="A4" s="91" t="s">
        <v>461</v>
      </c>
      <c r="B4" s="91" t="s">
        <v>715</v>
      </c>
      <c r="C4" s="91" t="s">
        <v>425</v>
      </c>
      <c r="D4" s="91" t="n">
        <v>3</v>
      </c>
      <c r="E4" s="91" t="n">
        <v>3</v>
      </c>
      <c r="H4" s="91" t="s">
        <v>1157</v>
      </c>
      <c r="I4" s="91" t="s">
        <v>201</v>
      </c>
      <c r="J4" s="91" t="s">
        <v>640</v>
      </c>
      <c r="K4" s="91" t="s">
        <v>1158</v>
      </c>
      <c r="M4" s="91" t="s">
        <v>1159</v>
      </c>
    </row>
    <row r="5" customFormat="false" ht="15" hidden="false" customHeight="true" outlineLevel="0" collapsed="false">
      <c r="A5" s="91" t="s">
        <v>640</v>
      </c>
      <c r="B5" s="91" t="s">
        <v>735</v>
      </c>
      <c r="E5" s="91" t="n">
        <v>2</v>
      </c>
      <c r="H5" s="91" t="s">
        <v>1160</v>
      </c>
      <c r="M5" s="91" t="s">
        <v>1161</v>
      </c>
    </row>
    <row r="6" customFormat="false" ht="15" hidden="false" customHeight="true" outlineLevel="0" collapsed="false">
      <c r="A6" s="91" t="s">
        <v>698</v>
      </c>
      <c r="E6" s="91" t="n">
        <v>1</v>
      </c>
      <c r="H6" s="91" t="s">
        <v>1162</v>
      </c>
      <c r="M6" s="91" t="s">
        <v>1163</v>
      </c>
    </row>
    <row r="7" customFormat="false" ht="15" hidden="false" customHeight="true" outlineLevel="0" collapsed="false">
      <c r="H7" s="91" t="s">
        <v>1164</v>
      </c>
      <c r="M7" s="91" t="s">
        <v>1165</v>
      </c>
    </row>
    <row r="8" customFormat="false" ht="15" hidden="false" customHeight="true" outlineLevel="0" collapsed="false">
      <c r="H8" s="91" t="s">
        <v>1166</v>
      </c>
    </row>
    <row r="9" customFormat="false" ht="15" hidden="false" customHeight="true" outlineLevel="0" collapsed="false">
      <c r="H9" s="91" t="s">
        <v>1167</v>
      </c>
    </row>
    <row r="10" customFormat="false" ht="15" hidden="false" customHeight="true" outlineLevel="0" collapsed="false">
      <c r="H10" s="91" t="s">
        <v>1168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2026-09-26T23:53:32Z</dcterms:created>
  <dc:creator>Zachary Perna</dc:creator>
  <dc:description/>
  <dc:language>en-US</dc:language>
  <cp:lastModifiedBy/>
  <dcterms:modified xsi:type="dcterms:W3CDTF">2026-10-25T04:22:35Z</dcterms:modified>
  <cp:revision>0</cp:revision>
  <dc:subject/>
  <dc:title>Climate-resilient tree removal and replacement</dc:title>
</cp:coreProperties>
</file>

<file path=docProps/custom.xml><?xml version="1.0" encoding="utf-8"?>
<Properties xmlns="http://schemas.openxmlformats.org/officeDocument/2006/custom-properties" xmlns:vt="http://schemas.openxmlformats.org/officeDocument/2006/docPropsVTypes"/>
</file>